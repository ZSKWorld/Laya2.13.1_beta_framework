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1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1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2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21.xml" ContentType="application/vnd.openxmlformats-officedocument.spreadsheetml.table+xml"/>
  <Override PartName="/xl/drawings/drawing12.xml" ContentType="application/vnd.openxmlformats-officedocument.drawing+xml"/>
  <Override PartName="/xl/ctrlProps/ctrlProp12.xml" ContentType="application/vnd.ms-excel.controlproperties+xml"/>
  <Override PartName="/xl/tables/table22.xml" ContentType="application/vnd.openxmlformats-officedocument.spreadsheetml.table+xml"/>
  <Override PartName="/xl/drawings/drawing13.xml" ContentType="application/vnd.openxmlformats-officedocument.drawing+xml"/>
  <Override PartName="/xl/ctrlProps/ctrlProp13.xml" ContentType="application/vnd.ms-excel.controlproperties+xml"/>
  <Override PartName="/xl/tables/table23.xml" ContentType="application/vnd.openxmlformats-officedocument.spreadsheetml.table+xml"/>
  <Override PartName="/xl/drawings/drawing14.xml" ContentType="application/vnd.openxmlformats-officedocument.drawing+xml"/>
  <Override PartName="/xl/ctrlProps/ctrlProp14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15.xml" ContentType="application/vnd.openxmlformats-officedocument.drawing+xml"/>
  <Override PartName="/xl/ctrlProps/ctrlProp15.xml" ContentType="application/vnd.ms-excel.controlproperties+xml"/>
  <Override PartName="/xl/tables/table26.xml" ContentType="application/vnd.openxmlformats-officedocument.spreadsheetml.table+xml"/>
  <Override PartName="/xl/drawings/drawing16.xml" ContentType="application/vnd.openxmlformats-officedocument.drawing+xml"/>
  <Override PartName="/xl/ctrlProps/ctrlProp16.xml" ContentType="application/vnd.ms-excel.controlproperties+xml"/>
  <Override PartName="/xl/tables/table27.xml" ContentType="application/vnd.openxmlformats-officedocument.spreadsheetml.table+xml"/>
  <Override PartName="/xl/drawings/drawing17.xml" ContentType="application/vnd.openxmlformats-officedocument.drawing+xml"/>
  <Override PartName="/xl/ctrlProps/ctrlProp17.xml" ContentType="application/vnd.ms-excel.controlproperties+xml"/>
  <Override PartName="/xl/tables/table28.xml" ContentType="application/vnd.openxmlformats-officedocument.spreadsheetml.table+xml"/>
  <Override PartName="/xl/drawings/drawing18.xml" ContentType="application/vnd.openxmlformats-officedocument.drawing+xml"/>
  <Override PartName="/xl/ctrlProps/ctrlProp18.xml" ContentType="application/vnd.ms-excel.controlproperties+xml"/>
  <Override PartName="/xl/tables/table29.xml" ContentType="application/vnd.openxmlformats-officedocument.spreadsheetml.table+xml"/>
  <Override PartName="/xl/drawings/drawing19.xml" ContentType="application/vnd.openxmlformats-officedocument.drawing+xml"/>
  <Override PartName="/xl/ctrlProps/ctrlProp19.xml" ContentType="application/vnd.ms-excel.controlproperties+xml"/>
  <Override PartName="/xl/tables/table30.xml" ContentType="application/vnd.openxmlformats-officedocument.spreadsheetml.table+xml"/>
  <Override PartName="/xl/drawings/drawing20.xml" ContentType="application/vnd.openxmlformats-officedocument.drawing+xml"/>
  <Override PartName="/xl/ctrlProps/ctrlProp20.xml" ContentType="application/vnd.ms-excel.controlproperties+xml"/>
  <Override PartName="/xl/tables/table31.xml" ContentType="application/vnd.openxmlformats-officedocument.spreadsheetml.table+xml"/>
  <Override PartName="/xl/drawings/drawing21.xml" ContentType="application/vnd.openxmlformats-officedocument.drawing+xml"/>
  <Override PartName="/xl/ctrlProps/ctrlProp21.xml" ContentType="application/vnd.ms-excel.controlproperties+xml"/>
  <Override PartName="/xl/tables/table32.xml" ContentType="application/vnd.openxmlformats-officedocument.spreadsheetml.table+xml"/>
  <Override PartName="/xl/drawings/drawing22.xml" ContentType="application/vnd.openxmlformats-officedocument.drawing+xml"/>
  <Override PartName="/xl/ctrlProps/ctrlProp22.xml" ContentType="application/vnd.ms-excel.controlproperties+xml"/>
  <Override PartName="/xl/tables/table33.xml" ContentType="application/vnd.openxmlformats-officedocument.spreadsheetml.table+xml"/>
  <Override PartName="/xl/drawings/drawing23.xml" ContentType="application/vnd.openxmlformats-officedocument.drawing+xml"/>
  <Override PartName="/xl/ctrlProps/ctrlProp23.xml" ContentType="application/vnd.ms-excel.controlproperties+xml"/>
  <Override PartName="/xl/tables/table34.xml" ContentType="application/vnd.openxmlformats-officedocument.spreadsheetml.table+xml"/>
  <Override PartName="/xl/drawings/drawing24.xml" ContentType="application/vnd.openxmlformats-officedocument.drawing+xml"/>
  <Override PartName="/xl/ctrlProps/ctrlProp24.xml" ContentType="application/vnd.ms-excel.controlproperties+xml"/>
  <Override PartName="/xl/tables/table35.xml" ContentType="application/vnd.openxmlformats-officedocument.spreadsheetml.table+xml"/>
  <Override PartName="/xl/drawings/drawing25.xml" ContentType="application/vnd.openxmlformats-officedocument.drawing+xml"/>
  <Override PartName="/xl/ctrlProps/ctrlProp25.xml" ContentType="application/vnd.ms-excel.controlproperties+xml"/>
  <Override PartName="/xl/tables/table36.xml" ContentType="application/vnd.openxmlformats-officedocument.spreadsheetml.table+xml"/>
  <Override PartName="/xl/drawings/drawing26.xml" ContentType="application/vnd.openxmlformats-officedocument.drawing+xml"/>
  <Override PartName="/xl/ctrlProps/ctrlProp26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airyBunny\ProjectCAT_Doc\4. 数据配置\"/>
    </mc:Choice>
  </mc:AlternateContent>
  <xr:revisionPtr revIDLastSave="0" documentId="13_ncr:1_{8F99EB26-0426-4190-ACFB-23A3BC0B6491}" xr6:coauthVersionLast="47" xr6:coauthVersionMax="47" xr10:uidLastSave="{00000000-0000-0000-0000-000000000000}"/>
  <bookViews>
    <workbookView xWindow="-120" yWindow="-120" windowWidth="29040" windowHeight="15840" tabRatio="882" xr2:uid="{89B0C86B-F067-437D-9A6C-6D0AD7B75D57}"/>
  </bookViews>
  <sheets>
    <sheet name="使用说明" sheetId="1" r:id="rId1"/>
    <sheet name="SheetName" sheetId="2" state="hidden" r:id="rId2"/>
    <sheet name="GameConfig" sheetId="3" r:id="rId3"/>
    <sheet name="GameDict" sheetId="4" r:id="rId4"/>
    <sheet name="Numerical" sheetId="5" state="hidden" r:id="rId5"/>
    <sheet name="GameFunc" sheetId="6" state="hidden" r:id="rId6"/>
    <sheet name="GameSettings" sheetId="7" state="hidden" r:id="rId7"/>
    <sheet name="Notice" sheetId="8" state="hidden" r:id="rId8"/>
    <sheet name="Prompt" sheetId="9" r:id="rId9"/>
    <sheet name="RoleNameRandom" sheetId="10" r:id="rId10"/>
    <sheet name="RoleInfo" sheetId="11" r:id="rId11"/>
    <sheet name="RoleAvatar" sheetId="12" r:id="rId12"/>
    <sheet name="RoleStatus" sheetId="13" r:id="rId13"/>
    <sheet name="RoleProf" sheetId="14" r:id="rId14"/>
    <sheet name="RoleJob" sheetId="15" r:id="rId15"/>
    <sheet name="RoleAction" sheetId="16" r:id="rId16"/>
    <sheet name="RoleHappiness" sheetId="27" r:id="rId17"/>
    <sheet name="RoleLevel" sheetId="17" r:id="rId18"/>
    <sheet name="Tag" sheetId="20" r:id="rId19"/>
    <sheet name="Skill" sheetId="21" state="hidden" r:id="rId20"/>
    <sheet name="Buff" sheetId="22" r:id="rId21"/>
    <sheet name="BuffEffect" sheetId="23" r:id="rId22"/>
    <sheet name="Item" sheetId="24" r:id="rId23"/>
    <sheet name="Drop" sheetId="25" r:id="rId24"/>
    <sheet name="Formula" sheetId="28" r:id="rId25"/>
    <sheet name="ScenePart" sheetId="29" r:id="rId26"/>
    <sheet name="House" sheetId="26" r:id="rId27"/>
    <sheet name="Chapter" sheetId="30" r:id="rId28"/>
    <sheet name="Task" sheetId="31" r:id="rId29"/>
    <sheet name="GameEvent" sheetId="32" r:id="rId30"/>
    <sheet name="Story" sheetId="34" r:id="rId31"/>
    <sheet name="DialogTxt" sheetId="33" r:id="rId32"/>
  </sheets>
  <functionGroups builtInGroupCount="19"/>
  <definedNames>
    <definedName name="branchName">使用说明!$B$3</definedName>
    <definedName name="msgOutput">使用说明!$D$2</definedName>
    <definedName name="SheetName">MID(GET.WORKBOOK(1),FIND("]",GET.WORKBOOK(1))+1,20)&amp;T(NOW())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3" i="4" l="1"/>
  <c r="C174" i="4"/>
  <c r="C175" i="4"/>
  <c r="C176" i="4"/>
  <c r="C177" i="4"/>
  <c r="C178" i="4"/>
  <c r="C179" i="4"/>
  <c r="C180" i="4"/>
  <c r="C181" i="4"/>
  <c r="C182" i="4"/>
  <c r="C183" i="4"/>
  <c r="C184" i="4"/>
  <c r="C155" i="4"/>
  <c r="C156" i="4"/>
  <c r="C157" i="4"/>
  <c r="C158" i="4"/>
  <c r="C52" i="4"/>
  <c r="C53" i="4"/>
  <c r="C54" i="4"/>
  <c r="C55" i="4"/>
  <c r="C56" i="4"/>
  <c r="C57" i="4"/>
  <c r="C58" i="4"/>
  <c r="C59" i="4"/>
  <c r="C60" i="4"/>
  <c r="C61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73" i="4"/>
  <c r="C74" i="4"/>
  <c r="C131" i="4"/>
  <c r="C132" i="4"/>
  <c r="C133" i="4"/>
  <c r="C134" i="4"/>
  <c r="C135" i="4"/>
  <c r="C136" i="4"/>
  <c r="C137" i="4"/>
  <c r="C138" i="4"/>
  <c r="C147" i="4"/>
  <c r="C148" i="4"/>
  <c r="C149" i="4"/>
  <c r="C150" i="4"/>
  <c r="C151" i="4"/>
  <c r="C152" i="4"/>
  <c r="C153" i="4"/>
  <c r="C154" i="4"/>
  <c r="C159" i="4"/>
  <c r="C143" i="4"/>
  <c r="C64" i="4"/>
  <c r="C65" i="4"/>
  <c r="C5" i="4"/>
  <c r="C101" i="4"/>
  <c r="C102" i="4"/>
  <c r="C103" i="4"/>
  <c r="C11" i="3"/>
  <c r="C12" i="3"/>
  <c r="C22" i="3"/>
  <c r="C23" i="3"/>
  <c r="C24" i="3"/>
  <c r="C25" i="3"/>
  <c r="C26" i="3"/>
  <c r="C15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" i="3"/>
  <c r="C13" i="3"/>
  <c r="C14" i="3"/>
  <c r="C16" i="3"/>
  <c r="C17" i="3"/>
  <c r="C18" i="3"/>
  <c r="C19" i="3"/>
  <c r="C20" i="3"/>
  <c r="C21" i="3"/>
  <c r="C160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66" i="4"/>
  <c r="C67" i="4"/>
  <c r="C68" i="4"/>
  <c r="C98" i="4"/>
  <c r="C99" i="4"/>
  <c r="C100" i="4"/>
  <c r="C75" i="4"/>
  <c r="C76" i="4"/>
  <c r="C77" i="4"/>
  <c r="C78" i="4"/>
  <c r="C69" i="4"/>
  <c r="C70" i="4"/>
  <c r="C71" i="4"/>
  <c r="C62" i="4"/>
  <c r="C6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72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139" i="4"/>
  <c r="C140" i="4"/>
  <c r="C141" i="4"/>
  <c r="C142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6" i="4"/>
  <c r="C7" i="4"/>
  <c r="C8" i="4"/>
  <c r="C9" i="4"/>
  <c r="C144" i="4"/>
  <c r="C145" i="4"/>
  <c r="C146" i="4"/>
  <c r="C9" i="3"/>
  <c r="C8" i="3"/>
  <c r="C5" i="3"/>
  <c r="C6" i="3"/>
  <c r="C7" i="3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" i="10"/>
  <c r="F5" i="1" a="1"/>
  <c r="F4" i="1" a="1"/>
  <c r="F17" i="1" a="1"/>
  <c r="F12" i="1" a="1"/>
  <c r="F32" i="1" a="1"/>
  <c r="F30" i="1" a="1"/>
  <c r="F11" i="1" a="1"/>
  <c r="F16" i="1" a="1"/>
  <c r="F27" i="1" a="1"/>
  <c r="F31" i="1" a="1"/>
  <c r="F8" i="1" a="1"/>
  <c r="F21" i="1" a="1"/>
  <c r="F26" i="1" a="1"/>
  <c r="F20" i="1" a="1"/>
  <c r="F19" i="1" a="1"/>
  <c r="F23" i="1" a="1"/>
  <c r="F10" i="1" a="1"/>
  <c r="F28" i="1" a="1"/>
  <c r="F24" i="1" a="1"/>
  <c r="F29" i="1" a="1"/>
  <c r="F7" i="1" a="1"/>
  <c r="F18" i="1" a="1"/>
  <c r="F14" i="1" a="1"/>
  <c r="F22" i="1" a="1"/>
  <c r="F6" i="1" a="1"/>
  <c r="F25" i="1" a="1"/>
  <c r="F15" i="1" a="1"/>
  <c r="F9" i="1" a="1"/>
  <c r="F13" i="1" a="1"/>
  <c r="F33" i="1" a="1"/>
  <c r="F24" i="1" l="1"/>
  <c r="F6" i="1"/>
  <c r="F11" i="1"/>
  <c r="F28" i="1"/>
  <c r="F22" i="1"/>
  <c r="F16" i="1"/>
  <c r="F10" i="1"/>
  <c r="F27" i="1"/>
  <c r="F15" i="1"/>
  <c r="F8" i="1"/>
  <c r="F33" i="1"/>
  <c r="F21" i="1"/>
  <c r="F9" i="1"/>
  <c r="F32" i="1"/>
  <c r="F26" i="1"/>
  <c r="F20" i="1"/>
  <c r="F14" i="1"/>
  <c r="F31" i="1"/>
  <c r="F25" i="1"/>
  <c r="F19" i="1"/>
  <c r="F13" i="1"/>
  <c r="F7" i="1"/>
  <c r="F18" i="1"/>
  <c r="F30" i="1"/>
  <c r="F12" i="1"/>
  <c r="F29" i="1"/>
  <c r="F23" i="1"/>
  <c r="F17" i="1"/>
  <c r="F5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<sst xmlns="http://schemas.openxmlformats.org/spreadsheetml/2006/main" count="5874" uniqueCount="3860">
  <si>
    <t>首列标识</t>
  </si>
  <si>
    <t>标识含义</t>
  </si>
  <si>
    <t>标识说明</t>
  </si>
  <si>
    <t>$</t>
  </si>
  <si>
    <t>字段类型</t>
  </si>
  <si>
    <t>本行数据，为字段类型</t>
  </si>
  <si>
    <t>!</t>
  </si>
  <si>
    <t>字段名</t>
  </si>
  <si>
    <t>本行数据，为字段名称</t>
  </si>
  <si>
    <t>#</t>
  </si>
  <si>
    <t>字段名注释</t>
  </si>
  <si>
    <t>本行数据，为字段中文注释名称</t>
  </si>
  <si>
    <t>*</t>
  </si>
  <si>
    <t>注释数据</t>
  </si>
  <si>
    <t>本行数据，为注释数据，导出时跳过本行</t>
  </si>
  <si>
    <t>名称范例</t>
  </si>
  <si>
    <t>名称应用</t>
  </si>
  <si>
    <t>命名说明</t>
  </si>
  <si>
    <t>TableName</t>
  </si>
  <si>
    <t>配置表名称</t>
  </si>
  <si>
    <t>各单词首字母大写连接（大驼峰），单词数控制3个内</t>
  </si>
  <si>
    <t>field_name</t>
  </si>
  <si>
    <t>字段名称</t>
  </si>
  <si>
    <t>各单词全小写下划线连接，单次数尽可能控制3个内</t>
  </si>
  <si>
    <t>TableName.field_name</t>
  </si>
  <si>
    <t>字段引用书写</t>
  </si>
  <si>
    <t>在文档书写等引用字段时，以类似命名域形式书写</t>
  </si>
  <si>
    <t>保留字段</t>
  </si>
  <si>
    <t>字段含义</t>
  </si>
  <si>
    <t>字段说明</t>
  </si>
  <si>
    <t>ver</t>
  </si>
  <si>
    <t>版本号</t>
  </si>
  <si>
    <t>不同资料片版本冲突配置，高版本覆盖低版本</t>
  </si>
  <si>
    <t>id</t>
  </si>
  <si>
    <t>编号</t>
  </si>
  <si>
    <t>所有配置表通用字段，编号规则8位数字</t>
  </si>
  <si>
    <t>类型说明</t>
  </si>
  <si>
    <t>格式范例</t>
  </si>
  <si>
    <t>int</t>
  </si>
  <si>
    <t>整数型字段</t>
  </si>
  <si>
    <t>string</t>
  </si>
  <si>
    <t>字符型字段</t>
  </si>
  <si>
    <t>我就是个文本^^</t>
  </si>
  <si>
    <t>bool</t>
  </si>
  <si>
    <t>布尔值字段</t>
  </si>
  <si>
    <t>TRUE/FALSE</t>
  </si>
  <si>
    <t>date</t>
  </si>
  <si>
    <t>时间型字段</t>
  </si>
  <si>
    <t>YYYY-MM-DD HH:MM:SS</t>
  </si>
  <si>
    <t>intarray</t>
  </si>
  <si>
    <t>整数数组型字段</t>
  </si>
  <si>
    <t>1,2,3,…</t>
  </si>
  <si>
    <t>intmatrix</t>
  </si>
  <si>
    <t>整数矩阵型字段</t>
  </si>
  <si>
    <t>1,2,3,…;3,2,1,…;…</t>
  </si>
  <si>
    <t>stringarray</t>
  </si>
  <si>
    <t>字符数组型字段</t>
  </si>
  <si>
    <t>a,b,c,…</t>
  </si>
  <si>
    <t>stringmatrix</t>
  </si>
  <si>
    <t>字符矩阵型字段</t>
  </si>
  <si>
    <t>a,b,c,…;c,b,a,…;…</t>
  </si>
  <si>
    <t>[":",":"]</t>
  </si>
  <si>
    <t>对象型字段</t>
  </si>
  <si>
    <t>["id:int","cnt:int"] = 20101001,1</t>
  </si>
  <si>
    <t>array[":",":"]</t>
  </si>
  <si>
    <t>对象数组型字段</t>
  </si>
  <si>
    <t>array["id:int","cnt:int"] = 20101001,1;20101002,2;…</t>
  </si>
  <si>
    <t>matrix[":",":"]</t>
  </si>
  <si>
    <t>对象矩阵型字段</t>
  </si>
  <si>
    <t>matrix["id:int","cnt:int"] = 20101001,1;20101002,2;…|…</t>
  </si>
  <si>
    <t>type</t>
  </si>
  <si>
    <t>类型型字段</t>
  </si>
  <si>
    <t>lang</t>
  </si>
  <si>
    <t>语言包编号</t>
  </si>
  <si>
    <t>skip</t>
  </si>
  <si>
    <t>--</t>
  </si>
  <si>
    <t>name</t>
  </si>
  <si>
    <t>xxxx</t>
  </si>
  <si>
    <t>字段名称1</t>
  </si>
  <si>
    <t>字段名称2</t>
  </si>
  <si>
    <t>注释</t>
  </si>
  <si>
    <t>逻辑版本号</t>
    <phoneticPr fontId="3" type="noConversion"/>
  </si>
  <si>
    <t>显示版本号</t>
    <phoneticPr fontId="3" type="noConversion"/>
  </si>
  <si>
    <t>版本号说明</t>
    <phoneticPr fontId="3" type="noConversion"/>
  </si>
  <si>
    <t>A×1000+B×100+C</t>
    <phoneticPr fontId="3" type="noConversion"/>
  </si>
  <si>
    <t>Ver A.B.C</t>
    <phoneticPr fontId="3" type="noConversion"/>
  </si>
  <si>
    <t>Ver 0.3.x</t>
    <phoneticPr fontId="3" type="noConversion"/>
  </si>
  <si>
    <t>Ver 0.4.x</t>
    <phoneticPr fontId="3" type="noConversion"/>
  </si>
  <si>
    <t>Ver 0.5.x</t>
  </si>
  <si>
    <t>Ver 0.6.x</t>
  </si>
  <si>
    <t>Ver 0.7.x</t>
  </si>
  <si>
    <t>300～399</t>
    <phoneticPr fontId="3" type="noConversion"/>
  </si>
  <si>
    <t>400～499</t>
    <phoneticPr fontId="3" type="noConversion"/>
  </si>
  <si>
    <t>500～599</t>
  </si>
  <si>
    <t>600～699</t>
  </si>
  <si>
    <t>700～799</t>
  </si>
  <si>
    <t>通用规则：A，0～99；B，0～9；C，0～99</t>
    <phoneticPr fontId="3" type="noConversion"/>
  </si>
  <si>
    <t>res</t>
    <phoneticPr fontId="3" type="noConversion"/>
  </si>
  <si>
    <t>string</t>
    <phoneticPr fontId="3" type="noConversion"/>
  </si>
  <si>
    <t>资源</t>
    <phoneticPr fontId="3" type="noConversion"/>
  </si>
  <si>
    <t>type</t>
    <phoneticPr fontId="3" type="noConversion"/>
  </si>
  <si>
    <t>int</t>
    <phoneticPr fontId="3" type="noConversion"/>
  </si>
  <si>
    <t>desc</t>
    <phoneticPr fontId="3" type="noConversion"/>
  </si>
  <si>
    <t>描述</t>
    <phoneticPr fontId="3" type="noConversion"/>
  </si>
  <si>
    <t>*</t>
    <phoneticPr fontId="3" type="noConversion"/>
  </si>
  <si>
    <t>sheet名</t>
    <phoneticPr fontId="3" type="noConversion"/>
  </si>
  <si>
    <t>ID分段</t>
    <phoneticPr fontId="3" type="noConversion"/>
  </si>
  <si>
    <t>cfg文件名</t>
    <phoneticPr fontId="3" type="noConversion"/>
  </si>
  <si>
    <t>CfgDev</t>
    <phoneticPr fontId="3" type="noConversion"/>
  </si>
  <si>
    <t>CfgDesign</t>
    <phoneticPr fontId="3" type="noConversion"/>
  </si>
  <si>
    <t>CfgRelease</t>
    <phoneticPr fontId="3" type="noConversion"/>
  </si>
  <si>
    <t>Fun~</t>
    <phoneticPr fontId="3" type="noConversion"/>
  </si>
  <si>
    <t>～功能分支</t>
    <phoneticPr fontId="3" type="noConversion"/>
  </si>
  <si>
    <t>↓  选择导出分支  ↓</t>
    <phoneticPr fontId="3" type="noConversion"/>
  </si>
  <si>
    <t>配置库信息</t>
    <phoneticPr fontId="3" type="noConversion"/>
  </si>
  <si>
    <t>分配版本区段，Demo阶段</t>
    <phoneticPr fontId="3" type="noConversion"/>
  </si>
  <si>
    <t>分配版本区段，Alpha阶段</t>
    <phoneticPr fontId="3" type="noConversion"/>
  </si>
  <si>
    <t>分配版本区段，Beta阶段</t>
    <phoneticPr fontId="3" type="noConversion"/>
  </si>
  <si>
    <t>分配版本区段，EA/ET阶段</t>
    <phoneticPr fontId="3" type="noConversion"/>
  </si>
  <si>
    <t>分配版本区段，Launch阶段</t>
    <phoneticPr fontId="3" type="noConversion"/>
  </si>
  <si>
    <t>名称</t>
    <phoneticPr fontId="13" type="noConversion"/>
  </si>
  <si>
    <t>类型</t>
    <phoneticPr fontId="13" type="noConversion"/>
  </si>
  <si>
    <t>编号规则</t>
    <phoneticPr fontId="3" type="noConversion"/>
  </si>
  <si>
    <t>资源标识说明</t>
    <phoneticPr fontId="3" type="noConversion"/>
  </si>
  <si>
    <t>名称文本长度</t>
    <phoneticPr fontId="3" type="noConversion"/>
  </si>
  <si>
    <t>描述文本长度</t>
    <phoneticPr fontId="3" type="noConversion"/>
  </si>
  <si>
    <t>类型含义及枚举说明</t>
    <phoneticPr fontId="3" type="noConversion"/>
  </si>
  <si>
    <t>字段说明……</t>
    <phoneticPr fontId="3" type="noConversion"/>
  </si>
  <si>
    <t>字段说明行</t>
    <phoneticPr fontId="13" type="noConversion"/>
  </si>
  <si>
    <t>数据说明1</t>
    <phoneticPr fontId="13" type="noConversion"/>
  </si>
  <si>
    <t>数据说明2</t>
    <phoneticPr fontId="13" type="noConversion"/>
  </si>
  <si>
    <t>……</t>
    <phoneticPr fontId="13" type="noConversion"/>
  </si>
  <si>
    <t>开发</t>
    <phoneticPr fontId="3" type="noConversion"/>
  </si>
  <si>
    <t>策划</t>
    <phoneticPr fontId="3" type="noConversion"/>
  </si>
  <si>
    <t>发布</t>
    <phoneticPr fontId="3" type="noConversion"/>
  </si>
  <si>
    <t>用于指定某个字段解析类型，固定命名typeof_xxx</t>
    <phoneticPr fontId="3" type="noConversion"/>
  </si>
  <si>
    <t>基于基础编号，通过加位规则生成，如120010011</t>
    <phoneticPr fontId="3" type="noConversion"/>
  </si>
  <si>
    <t>导出跳过字段</t>
    <phoneticPr fontId="3" type="noConversion"/>
  </si>
  <si>
    <t>key</t>
  </si>
  <si>
    <t>val</t>
  </si>
  <si>
    <t>typeof_val</t>
  </si>
  <si>
    <t>常量编号</t>
  </si>
  <si>
    <t>常量键</t>
  </si>
  <si>
    <t>常量值</t>
  </si>
  <si>
    <t>8位数字编号，901xxxxx，纯流水编号，非索引字段</t>
  </si>
  <si>
    <t>常量的索引标识</t>
  </si>
  <si>
    <t>常量值数据结构格式</t>
  </si>
  <si>
    <t>res</t>
  </si>
  <si>
    <t>字典编号</t>
  </si>
  <si>
    <t>资源标识</t>
  </si>
  <si>
    <t>字典键</t>
  </si>
  <si>
    <t>字典枚举</t>
  </si>
  <si>
    <t>字典文本</t>
  </si>
  <si>
    <t>字典缩略文本</t>
  </si>
  <si>
    <t>字典附加文本</t>
  </si>
  <si>
    <t>8位数字编号，902xxxxx，纯流水编号，非索引字段</t>
  </si>
  <si>
    <t>字典资源标识字符串ResName</t>
  </si>
  <si>
    <t>字典的索引标识</t>
  </si>
  <si>
    <t>字典索引下属枚举</t>
  </si>
  <si>
    <t>desc</t>
  </si>
  <si>
    <t>属性编号</t>
  </si>
  <si>
    <t>属性键</t>
  </si>
  <si>
    <t>属性枚举</t>
  </si>
  <si>
    <t>属性名称</t>
  </si>
  <si>
    <t>属性描述</t>
  </si>
  <si>
    <t>8位数字编号，903xxxxx，纯流水编号，非索引字段</t>
  </si>
  <si>
    <t>数值属性的索引标识</t>
  </si>
  <si>
    <t>数值属性的全局枚举</t>
  </si>
  <si>
    <t>功能编号</t>
  </si>
  <si>
    <t>8位数字编号，911xxyyy，xx=type，yyy=纯流水</t>
  </si>
  <si>
    <t>功能标识</t>
  </si>
  <si>
    <t>游戏功能程序用索引字符串</t>
  </si>
  <si>
    <t>功能类型</t>
  </si>
  <si>
    <t>功能分组类型，分组：00-主界面，01-系统……</t>
  </si>
  <si>
    <t>sort</t>
  </si>
  <si>
    <t>功能排序</t>
  </si>
  <si>
    <t>功能在所属分组中的排序，涉及界面排序，升序</t>
  </si>
  <si>
    <t>功能名称</t>
  </si>
  <si>
    <t>功能名称文本</t>
  </si>
  <si>
    <t>desc_enable</t>
  </si>
  <si>
    <t>可用描述</t>
  </si>
  <si>
    <t>功能开启状态下，查看的描述文本，xx字符内</t>
  </si>
  <si>
    <t>desc_disable</t>
  </si>
  <si>
    <t>不可用描述</t>
  </si>
  <si>
    <t>功能未开启时的说明文本</t>
  </si>
  <si>
    <t>open_effect</t>
  </si>
  <si>
    <t>功能开启效果</t>
  </si>
  <si>
    <t>0-无效果；1-弹窗提升</t>
  </si>
  <si>
    <t>parent_func</t>
  </si>
  <si>
    <t>上级功能</t>
  </si>
  <si>
    <t>功能开启时，未开启的父功能会被开启</t>
  </si>
  <si>
    <t>follow_func</t>
  </si>
  <si>
    <t>附带功能</t>
  </si>
  <si>
    <t>功能开启时，附带开启的其他功能</t>
  </si>
  <si>
    <t>house_linked</t>
  </si>
  <si>
    <t>建筑关联</t>
  </si>
  <si>
    <t>功能关联的建筑状态，</t>
  </si>
  <si>
    <t>shortcut</t>
  </si>
  <si>
    <t>快捷键</t>
  </si>
  <si>
    <t>功能关联的键盘快捷键</t>
  </si>
  <si>
    <t>effect</t>
  </si>
  <si>
    <t>设置编号</t>
  </si>
  <si>
    <t>设置分类</t>
  </si>
  <si>
    <t>选项排序</t>
  </si>
  <si>
    <t>选项名称</t>
  </si>
  <si>
    <t>启用描述</t>
  </si>
  <si>
    <t>未启用描述</t>
  </si>
  <si>
    <t>设置效果</t>
  </si>
  <si>
    <t>8位数字编号，912xxxxx，纯流水编号，非索引字段</t>
  </si>
  <si>
    <t>游戏设置资源标识字符串ResName</t>
  </si>
  <si>
    <t>游戏设置项目分类，如：画面、音量等</t>
  </si>
  <si>
    <t>选项在所属分类中排序，升序</t>
  </si>
  <si>
    <t>选项名称文本</t>
  </si>
  <si>
    <t>设置选项启用状态下的描述文本，xx字符内</t>
  </si>
  <si>
    <t>设置选项未启用时的说明文本</t>
  </si>
  <si>
    <t>选项对应效果标识，根据各类选项各自定义</t>
  </si>
  <si>
    <t>通知编号</t>
  </si>
  <si>
    <t>8位数字编号，921xxyyy，xx=分组(按系统来源)，yyy=纯流水</t>
  </si>
  <si>
    <t>通知资源标识字符串ResName</t>
  </si>
  <si>
    <t>通知类型</t>
  </si>
  <si>
    <t>通知分类枚举，0 = 启动公告，1 = xx……</t>
  </si>
  <si>
    <t>显示排序</t>
  </si>
  <si>
    <t>通知在所属分类中的排序，升序</t>
  </si>
  <si>
    <t>send_time</t>
  </si>
  <si>
    <t>通知时间</t>
  </si>
  <si>
    <t>通知显示的发布时间，yyyy-mm-dd hh:mm:ss格式？</t>
  </si>
  <si>
    <t>title</t>
  </si>
  <si>
    <t>通知标题</t>
  </si>
  <si>
    <t>通知标题文本，支持富文本</t>
  </si>
  <si>
    <t>通知正文</t>
  </si>
  <si>
    <t>通知正文文本，支持富文本</t>
  </si>
  <si>
    <t>array["button:string","func:int"]</t>
  </si>
  <si>
    <t>button_skip</t>
  </si>
  <si>
    <t>hide_enable</t>
  </si>
  <si>
    <t>提示编号</t>
  </si>
  <si>
    <t>提示类型</t>
  </si>
  <si>
    <t>按钮文本</t>
  </si>
  <si>
    <t>按钮跳转</t>
  </si>
  <si>
    <t>可否隐藏</t>
  </si>
  <si>
    <t>提示标题</t>
  </si>
  <si>
    <t>提示文本</t>
  </si>
  <si>
    <t>提示资源标识字符串ResName</t>
  </si>
  <si>
    <t>提示消息交互按钮文本，需配合提示类型关联交互样式</t>
  </si>
  <si>
    <t>提示消息交互按钮跳转功能，需配合提示类型关联交互样式</t>
  </si>
  <si>
    <t>该提示消息可否设置隐藏，设置隐藏后本次游戏不再提示</t>
  </si>
  <si>
    <t>提示标题文本，支持富文本</t>
  </si>
  <si>
    <t>提示消息正文，支持富文本</t>
  </si>
  <si>
    <t>surname</t>
  </si>
  <si>
    <t>name_male</t>
  </si>
  <si>
    <t>name_female</t>
  </si>
  <si>
    <t>随机姓名编号</t>
  </si>
  <si>
    <t>姓</t>
  </si>
  <si>
    <t>男名</t>
  </si>
  <si>
    <t>女名</t>
  </si>
  <si>
    <t>8位数字编号，100xxxxx，纯流水编号</t>
  </si>
  <si>
    <t>array["prof:int","level:int"]</t>
  </si>
  <si>
    <t>array["ability:int","val:int"]</t>
  </si>
  <si>
    <t>array["desire:int","val:int"]</t>
  </si>
  <si>
    <t>avatar</t>
  </si>
  <si>
    <t>sex</t>
  </si>
  <si>
    <t>story</t>
  </si>
  <si>
    <t>status</t>
  </si>
  <si>
    <t>prof_list</t>
  </si>
  <si>
    <t>job</t>
  </si>
  <si>
    <t>ability_list</t>
  </si>
  <si>
    <t>desire_list</t>
  </si>
  <si>
    <t>tag_list</t>
  </si>
  <si>
    <t>tag_random</t>
  </si>
  <si>
    <t>tag_random_max</t>
  </si>
  <si>
    <t>角色编号</t>
  </si>
  <si>
    <t>角色形象</t>
  </si>
  <si>
    <t>角色类型</t>
  </si>
  <si>
    <t>角色性别</t>
  </si>
  <si>
    <t>角色名称</t>
  </si>
  <si>
    <t>角色描述</t>
  </si>
  <si>
    <t>角色故事</t>
  </si>
  <si>
    <t>角色身份</t>
  </si>
  <si>
    <t>角色职业</t>
  </si>
  <si>
    <t>角色工作</t>
  </si>
  <si>
    <t>角色能力</t>
  </si>
  <si>
    <t>角色需求</t>
  </si>
  <si>
    <t>特性标签</t>
  </si>
  <si>
    <t>随机标签</t>
  </si>
  <si>
    <t>随机数量</t>
  </si>
  <si>
    <t>8位数字编号，101xxyyy，xx=type，yyy=纯流水</t>
  </si>
  <si>
    <t>角色形象标识，= RoleAvatar.id</t>
  </si>
  <si>
    <t>角色名称文本，5个字符内，留空则为随机名称填充RoleNameRandom</t>
  </si>
  <si>
    <t>角色描述文本，20个字符内</t>
  </si>
  <si>
    <t>角色生平故事文本，100字符内</t>
  </si>
  <si>
    <t>角色默认特征，= Tag.id,…</t>
  </si>
  <si>
    <t>随机特征最大数量，即随机数量0～max之间</t>
  </si>
  <si>
    <t>bone</t>
  </si>
  <si>
    <t>is_random</t>
  </si>
  <si>
    <t>形象编号</t>
  </si>
  <si>
    <t>骨骼标识</t>
  </si>
  <si>
    <t>是否随机</t>
  </si>
  <si>
    <t>8位数字编号，102xxyyy，xx=Role.type，yyy=纯流水</t>
  </si>
  <si>
    <t>角色形象ResName标识，关联各类或各部分角色资源</t>
  </si>
  <si>
    <t>角色动作骨骼BoneName标识，关联角色3D动作资源</t>
  </si>
  <si>
    <t>角色形象是否随机部件标识，用于区分固定/随机角色的形象生成方式，默认FALSE</t>
  </si>
  <si>
    <t>is_waif</t>
  </si>
  <si>
    <t>身份编号</t>
  </si>
  <si>
    <t>是否无主</t>
  </si>
  <si>
    <t>身份枚举</t>
  </si>
  <si>
    <t>身份名称</t>
  </si>
  <si>
    <t>身份描述</t>
  </si>
  <si>
    <t>8位数字编号，103xxyyy，xx=Role.type，yyy=纯流水</t>
  </si>
  <si>
    <t>身份关联资源ResName标识</t>
  </si>
  <si>
    <t>角色类型枚举，= Role.type</t>
  </si>
  <si>
    <t>角色是否无主，身份由类型+有无主确定，默认FALSE</t>
  </si>
  <si>
    <t>角色身份枚举，每一条身份配置定义唯一数字枚举</t>
  </si>
  <si>
    <t>身份名称文本，5个字符内</t>
  </si>
  <si>
    <t>身份描述文本，20个字符内</t>
  </si>
  <si>
    <t>level_type</t>
  </si>
  <si>
    <t>exp_id</t>
  </si>
  <si>
    <t>职业编号</t>
  </si>
  <si>
    <t>职业枚举</t>
  </si>
  <si>
    <t>等级类型</t>
  </si>
  <si>
    <t>关联经验</t>
  </si>
  <si>
    <t>职业名称</t>
  </si>
  <si>
    <t>职业描述</t>
  </si>
  <si>
    <t>职业关联资源ResName标识</t>
  </si>
  <si>
    <t>角色职业枚举，每一条职业配置定义唯一数字枚举</t>
  </si>
  <si>
    <t>角色职业对应的等级类型，= RoleLevel.type</t>
  </si>
  <si>
    <t>角色职业对应的经验编号，= Item.id</t>
  </si>
  <si>
    <t>职业名称文本，5个字符内</t>
  </si>
  <si>
    <t>职业描述文本，20个字符内</t>
  </si>
  <si>
    <t>工作编号</t>
  </si>
  <si>
    <t>工作关联资源ResName标识</t>
  </si>
  <si>
    <t>status_enable</t>
  </si>
  <si>
    <t>可用身份</t>
  </si>
  <si>
    <t>prof_belong</t>
  </si>
  <si>
    <t>所属职业</t>
  </si>
  <si>
    <t>工作枚举</t>
  </si>
  <si>
    <t>角色工作枚举，每一条工作配置定义唯一数字枚举</t>
  </si>
  <si>
    <t>工作名称</t>
  </si>
  <si>
    <t>工作名称文本，5个字符内</t>
  </si>
  <si>
    <t>工作描述</t>
  </si>
  <si>
    <t>工作描述文本，20个字符内</t>
  </si>
  <si>
    <t>array["ability:int","fix_val:int"]</t>
  </si>
  <si>
    <t>ability_fix</t>
  </si>
  <si>
    <t>能力修正</t>
  </si>
  <si>
    <t>从事当前工作对角色能力的数值影响，+/-数值</t>
  </si>
  <si>
    <t>array["desire:int","fix_val:int"]</t>
  </si>
  <si>
    <t>desire_fix</t>
  </si>
  <si>
    <t>需求修正</t>
  </si>
  <si>
    <t>从事当前工作对角色需求的数值影响，+/-数值</t>
  </si>
  <si>
    <t>ai_build</t>
  </si>
  <si>
    <t>行动方案</t>
  </si>
  <si>
    <t>["min:int","max:int"]</t>
  </si>
  <si>
    <t>group</t>
  </si>
  <si>
    <t>motion_mode</t>
  </si>
  <si>
    <t>random_step</t>
  </si>
  <si>
    <t>行为编号</t>
  </si>
  <si>
    <t>行为分组</t>
  </si>
  <si>
    <t>运动方式</t>
  </si>
  <si>
    <t>随机步长</t>
  </si>
  <si>
    <t>行为名称</t>
  </si>
  <si>
    <t>行为描述</t>
  </si>
  <si>
    <t>8位数字编号，106xxyyy，xx=分组，yyy=纯流水</t>
  </si>
  <si>
    <t>角色行为关联资源ResName标识</t>
  </si>
  <si>
    <t>角色行为的设计分组，初期可以仅使用默认分组Base</t>
  </si>
  <si>
    <t>角色行为的运动方式，Once = 瞬时，Loop = 持续</t>
  </si>
  <si>
    <t>角色行为持续过程中，随机动作出现间min～max之间，以基础动作播放一个loop为单位</t>
  </si>
  <si>
    <t>角色行为名称文本，5个字符内</t>
  </si>
  <si>
    <t>角色行为描述文本，20个字符内</t>
  </si>
  <si>
    <t>array["item:int","cnt:int"]</t>
  </si>
  <si>
    <t>cur_level</t>
  </si>
  <si>
    <t>exp_next</t>
  </si>
  <si>
    <t>levelup_mode</t>
  </si>
  <si>
    <t>levelup_cost</t>
  </si>
  <si>
    <t>levelup_reward</t>
  </si>
  <si>
    <t>is_max</t>
  </si>
  <si>
    <t>等级编号</t>
  </si>
  <si>
    <t>当前等级</t>
  </si>
  <si>
    <t>升级经验</t>
  </si>
  <si>
    <t>升级模式</t>
  </si>
  <si>
    <t>升级消耗</t>
  </si>
  <si>
    <t>升级奖励</t>
  </si>
  <si>
    <t>是否满级</t>
  </si>
  <si>
    <t>8位数字编号，110xxyyy，xx=type，yyy=等级序号</t>
  </si>
  <si>
    <t>升至下一等级所需经验值</t>
  </si>
  <si>
    <t>升级模式，0=自动升级，1=消耗扣除升级，2=其他条件+消耗</t>
  </si>
  <si>
    <t>升级所需消耗内容，对levelup_mode=0等级无效</t>
  </si>
  <si>
    <t>升至当前等级可以获得的奖励（一次性）</t>
  </si>
  <si>
    <t>当前等级是否已是本类型等级上限，默认FALSE</t>
  </si>
  <si>
    <t>当前等级对角色能力的数值影响，+/-数值</t>
  </si>
  <si>
    <t>当前等级对角色需求的数值影响，+/-数值</t>
  </si>
  <si>
    <t>buff_list</t>
  </si>
  <si>
    <t>标签编号</t>
  </si>
  <si>
    <t>标签类型</t>
  </si>
  <si>
    <t>标签分组</t>
  </si>
  <si>
    <t>标签名称</t>
  </si>
  <si>
    <t>标签描述</t>
  </si>
  <si>
    <t>标签效果</t>
  </si>
  <si>
    <t>8位数字编号，120xxxyy，xxx=group，yy=纯流水</t>
  </si>
  <si>
    <t>标签资源标识字符串ResName</t>
  </si>
  <si>
    <t>标签设计分组枚举：101 = 性格；102 = 体质；……</t>
  </si>
  <si>
    <t>标签名称文本，5个字符内</t>
  </si>
  <si>
    <t>标签描述文本，20个字符内</t>
  </si>
  <si>
    <t>标签附带效果，= Buff.id,…</t>
  </si>
  <si>
    <t>GameConfig</t>
  </si>
  <si>
    <t>GameDict</t>
  </si>
  <si>
    <t>Numerical</t>
  </si>
  <si>
    <t>GameFunc</t>
  </si>
  <si>
    <t>GameSettings</t>
  </si>
  <si>
    <t>Notice</t>
  </si>
  <si>
    <t>Prompt</t>
  </si>
  <si>
    <t>RoleNameRandom</t>
  </si>
  <si>
    <t>RoleInfo</t>
  </si>
  <si>
    <t>RoleAvatar</t>
  </si>
  <si>
    <t>RoleStatus</t>
  </si>
  <si>
    <t>RoleProf</t>
  </si>
  <si>
    <t>RoleJob</t>
  </si>
  <si>
    <t>RoleAction</t>
  </si>
  <si>
    <t>RoleLevel</t>
  </si>
  <si>
    <t>Tag</t>
  </si>
  <si>
    <t>Skill</t>
  </si>
  <si>
    <t>Buff</t>
  </si>
  <si>
    <t>BuffEffect</t>
  </si>
  <si>
    <t>Item</t>
  </si>
  <si>
    <t>Drop</t>
  </si>
  <si>
    <t>赵</t>
  </si>
  <si>
    <t>钱</t>
  </si>
  <si>
    <t>孙</t>
  </si>
  <si>
    <t>李</t>
  </si>
  <si>
    <t>周</t>
  </si>
  <si>
    <t>吴</t>
  </si>
  <si>
    <t>郑</t>
  </si>
  <si>
    <t>王</t>
  </si>
  <si>
    <t>冯</t>
  </si>
  <si>
    <t>陈</t>
  </si>
  <si>
    <t>褚</t>
  </si>
  <si>
    <t>卫</t>
  </si>
  <si>
    <t>蒋</t>
  </si>
  <si>
    <t>沈</t>
  </si>
  <si>
    <t>韩</t>
  </si>
  <si>
    <t>杨</t>
  </si>
  <si>
    <t>朱</t>
  </si>
  <si>
    <t>秦</t>
  </si>
  <si>
    <t>尤</t>
  </si>
  <si>
    <t>许</t>
  </si>
  <si>
    <t>何</t>
  </si>
  <si>
    <t>吕</t>
  </si>
  <si>
    <t>施</t>
  </si>
  <si>
    <t>张</t>
  </si>
  <si>
    <t>孔</t>
  </si>
  <si>
    <t>曹</t>
  </si>
  <si>
    <t>严</t>
  </si>
  <si>
    <t>华</t>
  </si>
  <si>
    <t>金</t>
  </si>
  <si>
    <t>魏</t>
  </si>
  <si>
    <t>陶</t>
  </si>
  <si>
    <t>姜</t>
  </si>
  <si>
    <t>戚</t>
  </si>
  <si>
    <t>谢</t>
  </si>
  <si>
    <t>邹</t>
  </si>
  <si>
    <t>喻</t>
  </si>
  <si>
    <t>柏</t>
  </si>
  <si>
    <t>水</t>
  </si>
  <si>
    <t>窦</t>
  </si>
  <si>
    <t>章</t>
  </si>
  <si>
    <t>云</t>
  </si>
  <si>
    <t>苏</t>
  </si>
  <si>
    <t>潘</t>
  </si>
  <si>
    <t>葛</t>
  </si>
  <si>
    <t>奚</t>
  </si>
  <si>
    <t>范</t>
  </si>
  <si>
    <t>彭</t>
  </si>
  <si>
    <t>郎</t>
  </si>
  <si>
    <t>鲁</t>
  </si>
  <si>
    <t>韦</t>
  </si>
  <si>
    <t>昌</t>
  </si>
  <si>
    <t>马</t>
  </si>
  <si>
    <t>苗</t>
  </si>
  <si>
    <t>凤</t>
  </si>
  <si>
    <t>花</t>
  </si>
  <si>
    <t>方</t>
  </si>
  <si>
    <t>俞</t>
  </si>
  <si>
    <t>任</t>
  </si>
  <si>
    <t>袁</t>
  </si>
  <si>
    <t>柳</t>
  </si>
  <si>
    <t>酆</t>
  </si>
  <si>
    <t>鲍</t>
  </si>
  <si>
    <t>史</t>
  </si>
  <si>
    <t>唐</t>
  </si>
  <si>
    <t>费</t>
  </si>
  <si>
    <t>廉</t>
  </si>
  <si>
    <t>岑</t>
  </si>
  <si>
    <t>薛</t>
  </si>
  <si>
    <t>雷</t>
  </si>
  <si>
    <t>贺</t>
  </si>
  <si>
    <t>倪</t>
  </si>
  <si>
    <t>汤</t>
  </si>
  <si>
    <t>滕</t>
  </si>
  <si>
    <t>殷</t>
  </si>
  <si>
    <t>罗</t>
  </si>
  <si>
    <t>毕</t>
  </si>
  <si>
    <t>郝</t>
  </si>
  <si>
    <t>邬</t>
  </si>
  <si>
    <t>安</t>
  </si>
  <si>
    <t>常</t>
  </si>
  <si>
    <t>乐</t>
  </si>
  <si>
    <t>于</t>
  </si>
  <si>
    <t>时</t>
  </si>
  <si>
    <t>傅</t>
  </si>
  <si>
    <t>皮</t>
  </si>
  <si>
    <t>卞</t>
  </si>
  <si>
    <t>齐</t>
  </si>
  <si>
    <t>康</t>
  </si>
  <si>
    <t>伍</t>
  </si>
  <si>
    <t>余</t>
  </si>
  <si>
    <t>元</t>
  </si>
  <si>
    <t>卜</t>
  </si>
  <si>
    <t>顾</t>
  </si>
  <si>
    <t>孟</t>
  </si>
  <si>
    <t>平</t>
  </si>
  <si>
    <t>黄</t>
  </si>
  <si>
    <t>和</t>
  </si>
  <si>
    <t>穆</t>
  </si>
  <si>
    <t>萧</t>
  </si>
  <si>
    <t>尹</t>
  </si>
  <si>
    <t>姚</t>
  </si>
  <si>
    <t>邵</t>
  </si>
  <si>
    <t>湛</t>
  </si>
  <si>
    <t>汪</t>
  </si>
  <si>
    <t>祁</t>
  </si>
  <si>
    <t>毛</t>
  </si>
  <si>
    <t>禹</t>
  </si>
  <si>
    <t>狄</t>
  </si>
  <si>
    <t>米</t>
  </si>
  <si>
    <t>贝</t>
  </si>
  <si>
    <t>明</t>
  </si>
  <si>
    <t>臧</t>
  </si>
  <si>
    <t>计</t>
  </si>
  <si>
    <t>伏</t>
  </si>
  <si>
    <t>成</t>
  </si>
  <si>
    <t>戴</t>
  </si>
  <si>
    <t>谈</t>
  </si>
  <si>
    <t>宋</t>
  </si>
  <si>
    <t>茅</t>
  </si>
  <si>
    <t>庞</t>
  </si>
  <si>
    <t>熊</t>
  </si>
  <si>
    <t>纪</t>
  </si>
  <si>
    <t>舒</t>
  </si>
  <si>
    <t>屈</t>
  </si>
  <si>
    <t>项</t>
  </si>
  <si>
    <t>祝</t>
  </si>
  <si>
    <t>董</t>
  </si>
  <si>
    <t>梁</t>
  </si>
  <si>
    <t>杜</t>
  </si>
  <si>
    <t>阮</t>
  </si>
  <si>
    <t>蓝</t>
  </si>
  <si>
    <t>闵</t>
  </si>
  <si>
    <t>席</t>
  </si>
  <si>
    <t>季</t>
  </si>
  <si>
    <t>麻</t>
  </si>
  <si>
    <t>强</t>
  </si>
  <si>
    <t>贾</t>
  </si>
  <si>
    <t>路</t>
  </si>
  <si>
    <t>娄</t>
  </si>
  <si>
    <t>危</t>
  </si>
  <si>
    <t>江</t>
  </si>
  <si>
    <t>童</t>
  </si>
  <si>
    <t>颜</t>
  </si>
  <si>
    <t>郭</t>
  </si>
  <si>
    <t>梅</t>
  </si>
  <si>
    <t>盛</t>
  </si>
  <si>
    <t>林</t>
  </si>
  <si>
    <t>刁</t>
  </si>
  <si>
    <t>钟</t>
  </si>
  <si>
    <t>徐</t>
  </si>
  <si>
    <t>邱</t>
  </si>
  <si>
    <t>骆</t>
  </si>
  <si>
    <t>高</t>
  </si>
  <si>
    <t>夏</t>
  </si>
  <si>
    <t>蔡</t>
  </si>
  <si>
    <t>田</t>
  </si>
  <si>
    <t>樊</t>
  </si>
  <si>
    <t>胡</t>
  </si>
  <si>
    <t>凌</t>
  </si>
  <si>
    <t>霍</t>
  </si>
  <si>
    <t>虞</t>
  </si>
  <si>
    <t>万</t>
  </si>
  <si>
    <t>支</t>
  </si>
  <si>
    <t>柯</t>
  </si>
  <si>
    <t>昝</t>
  </si>
  <si>
    <t>管</t>
  </si>
  <si>
    <t>卢</t>
  </si>
  <si>
    <t>莫</t>
  </si>
  <si>
    <t>经</t>
  </si>
  <si>
    <t>房</t>
  </si>
  <si>
    <t>裘</t>
  </si>
  <si>
    <t>缪</t>
  </si>
  <si>
    <t>干</t>
  </si>
  <si>
    <t>解</t>
  </si>
  <si>
    <t>应</t>
  </si>
  <si>
    <t>宗</t>
  </si>
  <si>
    <t>丁</t>
  </si>
  <si>
    <t>宣</t>
  </si>
  <si>
    <t>贲</t>
  </si>
  <si>
    <t>邓</t>
  </si>
  <si>
    <t>郁</t>
  </si>
  <si>
    <t>单</t>
  </si>
  <si>
    <t>杭</t>
  </si>
  <si>
    <t>洪</t>
  </si>
  <si>
    <t>包</t>
  </si>
  <si>
    <t>诸</t>
  </si>
  <si>
    <t>左</t>
  </si>
  <si>
    <t>石</t>
  </si>
  <si>
    <t>崔</t>
  </si>
  <si>
    <t>吉</t>
  </si>
  <si>
    <t>钮</t>
  </si>
  <si>
    <t>龚</t>
  </si>
  <si>
    <t>程</t>
  </si>
  <si>
    <t>嵇</t>
  </si>
  <si>
    <t>邢</t>
  </si>
  <si>
    <t>滑</t>
  </si>
  <si>
    <t>裴</t>
  </si>
  <si>
    <t>陆</t>
  </si>
  <si>
    <t>荣</t>
  </si>
  <si>
    <t>翁</t>
  </si>
  <si>
    <t>荀</t>
  </si>
  <si>
    <t>羊</t>
  </si>
  <si>
    <t>於</t>
  </si>
  <si>
    <t>惠</t>
  </si>
  <si>
    <t>甄</t>
  </si>
  <si>
    <t>曲</t>
  </si>
  <si>
    <t>家</t>
  </si>
  <si>
    <t>封</t>
  </si>
  <si>
    <t>芮</t>
  </si>
  <si>
    <t>羿</t>
  </si>
  <si>
    <t>储</t>
  </si>
  <si>
    <t>靳</t>
  </si>
  <si>
    <t>汲</t>
  </si>
  <si>
    <t>邴</t>
  </si>
  <si>
    <t>糜</t>
  </si>
  <si>
    <t>松</t>
  </si>
  <si>
    <t>井</t>
  </si>
  <si>
    <t>段</t>
  </si>
  <si>
    <t>富</t>
  </si>
  <si>
    <t>巫</t>
  </si>
  <si>
    <t>乌</t>
  </si>
  <si>
    <t>焦</t>
  </si>
  <si>
    <t>巴</t>
  </si>
  <si>
    <t>弓</t>
  </si>
  <si>
    <t>牧</t>
  </si>
  <si>
    <t>隗</t>
  </si>
  <si>
    <t>山</t>
  </si>
  <si>
    <t>谷</t>
  </si>
  <si>
    <t>车</t>
  </si>
  <si>
    <t>侯</t>
  </si>
  <si>
    <t>宓</t>
  </si>
  <si>
    <t>蓬</t>
  </si>
  <si>
    <t>全</t>
  </si>
  <si>
    <t>郗</t>
  </si>
  <si>
    <t>班</t>
  </si>
  <si>
    <t>仰</t>
  </si>
  <si>
    <t>秋</t>
  </si>
  <si>
    <t>仲</t>
  </si>
  <si>
    <t>伊</t>
  </si>
  <si>
    <t>宫</t>
  </si>
  <si>
    <t>宁</t>
  </si>
  <si>
    <t>仇</t>
  </si>
  <si>
    <t>栾</t>
  </si>
  <si>
    <t>暴</t>
  </si>
  <si>
    <t>甘</t>
  </si>
  <si>
    <t>钭</t>
  </si>
  <si>
    <t>厉</t>
  </si>
  <si>
    <t>戎</t>
  </si>
  <si>
    <t>祖</t>
  </si>
  <si>
    <t>武</t>
  </si>
  <si>
    <t>符</t>
  </si>
  <si>
    <t>刘</t>
  </si>
  <si>
    <t>景</t>
  </si>
  <si>
    <t>詹</t>
  </si>
  <si>
    <t>束</t>
  </si>
  <si>
    <t>龙</t>
  </si>
  <si>
    <t>叶</t>
  </si>
  <si>
    <t>幸</t>
  </si>
  <si>
    <t>司</t>
  </si>
  <si>
    <t>韶</t>
  </si>
  <si>
    <t>郜</t>
  </si>
  <si>
    <t>黎</t>
  </si>
  <si>
    <t>蓟</t>
  </si>
  <si>
    <t>薄</t>
  </si>
  <si>
    <t>印</t>
  </si>
  <si>
    <t>宿</t>
  </si>
  <si>
    <t>白</t>
  </si>
  <si>
    <t>怀</t>
  </si>
  <si>
    <t>蒲</t>
  </si>
  <si>
    <t>邰</t>
  </si>
  <si>
    <t>从</t>
  </si>
  <si>
    <t>鄂</t>
  </si>
  <si>
    <t>索</t>
  </si>
  <si>
    <t>咸</t>
  </si>
  <si>
    <t>籍</t>
  </si>
  <si>
    <t>赖</t>
  </si>
  <si>
    <t>卓</t>
  </si>
  <si>
    <t>蔺</t>
  </si>
  <si>
    <t>屠</t>
  </si>
  <si>
    <t>蒙</t>
  </si>
  <si>
    <t>池</t>
  </si>
  <si>
    <t>乔</t>
  </si>
  <si>
    <t>阴</t>
  </si>
  <si>
    <t>胥</t>
  </si>
  <si>
    <t>能</t>
  </si>
  <si>
    <t>苍</t>
  </si>
  <si>
    <t>双</t>
  </si>
  <si>
    <t>闻</t>
  </si>
  <si>
    <t>莘</t>
  </si>
  <si>
    <t>党</t>
  </si>
  <si>
    <t>翟</t>
  </si>
  <si>
    <t>谭</t>
  </si>
  <si>
    <t>贡</t>
  </si>
  <si>
    <t>劳</t>
  </si>
  <si>
    <t>逄</t>
  </si>
  <si>
    <t>姬</t>
  </si>
  <si>
    <t>申</t>
  </si>
  <si>
    <t>扶</t>
  </si>
  <si>
    <t>堵</t>
  </si>
  <si>
    <t>冉</t>
  </si>
  <si>
    <t>宰</t>
  </si>
  <si>
    <t>郦</t>
  </si>
  <si>
    <t>雍</t>
  </si>
  <si>
    <t>卻</t>
  </si>
  <si>
    <t>璩</t>
  </si>
  <si>
    <t>桑</t>
  </si>
  <si>
    <t>桂</t>
  </si>
  <si>
    <t>濮</t>
  </si>
  <si>
    <t>牛</t>
  </si>
  <si>
    <t>寿</t>
  </si>
  <si>
    <t>通</t>
  </si>
  <si>
    <t>边</t>
  </si>
  <si>
    <t>扈</t>
  </si>
  <si>
    <t>燕</t>
  </si>
  <si>
    <t>冀</t>
  </si>
  <si>
    <t>郏</t>
  </si>
  <si>
    <t>浦</t>
  </si>
  <si>
    <t>尚</t>
  </si>
  <si>
    <t>农</t>
  </si>
  <si>
    <t>温</t>
  </si>
  <si>
    <t>别</t>
  </si>
  <si>
    <t>庄</t>
  </si>
  <si>
    <t>晏</t>
  </si>
  <si>
    <t>柴</t>
  </si>
  <si>
    <t>瞿</t>
  </si>
  <si>
    <t>阎</t>
  </si>
  <si>
    <t>充</t>
  </si>
  <si>
    <t>慕</t>
  </si>
  <si>
    <t>连</t>
  </si>
  <si>
    <t>茹</t>
  </si>
  <si>
    <t>习</t>
  </si>
  <si>
    <t>宦</t>
  </si>
  <si>
    <t>艾</t>
  </si>
  <si>
    <t>鱼</t>
  </si>
  <si>
    <t>容</t>
  </si>
  <si>
    <t>向</t>
  </si>
  <si>
    <t>古</t>
  </si>
  <si>
    <t>易</t>
  </si>
  <si>
    <t>慎</t>
  </si>
  <si>
    <t>戈</t>
  </si>
  <si>
    <t>廖</t>
  </si>
  <si>
    <t>庾</t>
  </si>
  <si>
    <t>终</t>
  </si>
  <si>
    <t>暨</t>
  </si>
  <si>
    <t>居</t>
  </si>
  <si>
    <t>衡</t>
  </si>
  <si>
    <t>步</t>
  </si>
  <si>
    <t>都</t>
  </si>
  <si>
    <t>耿</t>
  </si>
  <si>
    <t>满</t>
  </si>
  <si>
    <t>弘</t>
  </si>
  <si>
    <t>匡</t>
  </si>
  <si>
    <t>国</t>
  </si>
  <si>
    <t>文</t>
  </si>
  <si>
    <t>寇</t>
  </si>
  <si>
    <t>广</t>
  </si>
  <si>
    <t>禄</t>
  </si>
  <si>
    <t>阙</t>
  </si>
  <si>
    <t>东</t>
  </si>
  <si>
    <t>欧</t>
  </si>
  <si>
    <t>殳</t>
  </si>
  <si>
    <t>沃</t>
  </si>
  <si>
    <t>利</t>
  </si>
  <si>
    <t>蔚</t>
  </si>
  <si>
    <t>越</t>
  </si>
  <si>
    <t>夔</t>
  </si>
  <si>
    <t>隆</t>
  </si>
  <si>
    <t>师</t>
  </si>
  <si>
    <t>巩</t>
  </si>
  <si>
    <t>厍</t>
  </si>
  <si>
    <t>聂</t>
  </si>
  <si>
    <t>晁</t>
  </si>
  <si>
    <t>勾</t>
  </si>
  <si>
    <t>敖</t>
  </si>
  <si>
    <t>融</t>
  </si>
  <si>
    <t>冷</t>
  </si>
  <si>
    <t>訾</t>
  </si>
  <si>
    <t>辛</t>
  </si>
  <si>
    <t>阚</t>
  </si>
  <si>
    <t>那</t>
  </si>
  <si>
    <t>简</t>
  </si>
  <si>
    <t>饶</t>
  </si>
  <si>
    <t>空</t>
  </si>
  <si>
    <t>曾</t>
  </si>
  <si>
    <t>毋</t>
  </si>
  <si>
    <t>沙</t>
  </si>
  <si>
    <t>乜</t>
  </si>
  <si>
    <t>养</t>
  </si>
  <si>
    <t>鞠</t>
  </si>
  <si>
    <t>须</t>
  </si>
  <si>
    <t>丰</t>
  </si>
  <si>
    <t>巢</t>
  </si>
  <si>
    <t>关</t>
  </si>
  <si>
    <t>蒯</t>
  </si>
  <si>
    <t>相</t>
  </si>
  <si>
    <t>查</t>
  </si>
  <si>
    <t>后</t>
  </si>
  <si>
    <t>荆</t>
  </si>
  <si>
    <t>红</t>
  </si>
  <si>
    <t>游</t>
  </si>
  <si>
    <t>竺</t>
  </si>
  <si>
    <t>权</t>
  </si>
  <si>
    <t>逯</t>
  </si>
  <si>
    <t>盖</t>
  </si>
  <si>
    <t>益</t>
  </si>
  <si>
    <t>桓</t>
  </si>
  <si>
    <t>公</t>
  </si>
  <si>
    <t>阳</t>
  </si>
  <si>
    <t>晋</t>
  </si>
  <si>
    <t>楚</t>
  </si>
  <si>
    <t>闫</t>
  </si>
  <si>
    <t>法</t>
  </si>
  <si>
    <t>汝</t>
  </si>
  <si>
    <t>鄢</t>
  </si>
  <si>
    <t>涂</t>
  </si>
  <si>
    <t>钦</t>
  </si>
  <si>
    <t>归</t>
  </si>
  <si>
    <t>海</t>
  </si>
  <si>
    <t>岳</t>
  </si>
  <si>
    <t>帅</t>
  </si>
  <si>
    <t>缑</t>
  </si>
  <si>
    <t>亢</t>
  </si>
  <si>
    <t>况</t>
  </si>
  <si>
    <t>有</t>
  </si>
  <si>
    <t>琴</t>
  </si>
  <si>
    <t>商</t>
  </si>
  <si>
    <t>牟</t>
  </si>
  <si>
    <t>佘</t>
  </si>
  <si>
    <t>佴</t>
  </si>
  <si>
    <t>伯</t>
  </si>
  <si>
    <t>赏</t>
  </si>
  <si>
    <t>墨</t>
  </si>
  <si>
    <t>哈</t>
  </si>
  <si>
    <t>谯</t>
  </si>
  <si>
    <t>笪</t>
  </si>
  <si>
    <t>年</t>
  </si>
  <si>
    <t>爱</t>
  </si>
  <si>
    <t>佟</t>
  </si>
  <si>
    <t>第</t>
  </si>
  <si>
    <t>五</t>
  </si>
  <si>
    <t>言</t>
  </si>
  <si>
    <t>福</t>
  </si>
  <si>
    <t>万俟</t>
    <phoneticPr fontId="3" type="noConversion"/>
  </si>
  <si>
    <t>司马</t>
    <phoneticPr fontId="3" type="noConversion"/>
  </si>
  <si>
    <t>上官</t>
    <phoneticPr fontId="3" type="noConversion"/>
  </si>
  <si>
    <t>欧阳</t>
    <phoneticPr fontId="3" type="noConversion"/>
  </si>
  <si>
    <t>夏侯</t>
    <phoneticPr fontId="3" type="noConversion"/>
  </si>
  <si>
    <t>诸葛</t>
    <phoneticPr fontId="3" type="noConversion"/>
  </si>
  <si>
    <t>闻人</t>
    <phoneticPr fontId="3" type="noConversion"/>
  </si>
  <si>
    <t>东方</t>
    <phoneticPr fontId="3" type="noConversion"/>
  </si>
  <si>
    <t>赫连</t>
    <phoneticPr fontId="3" type="noConversion"/>
  </si>
  <si>
    <t>皇甫</t>
    <phoneticPr fontId="3" type="noConversion"/>
  </si>
  <si>
    <t>尉迟</t>
    <phoneticPr fontId="3" type="noConversion"/>
  </si>
  <si>
    <t>公羊</t>
    <phoneticPr fontId="3" type="noConversion"/>
  </si>
  <si>
    <t>澹台</t>
    <phoneticPr fontId="3" type="noConversion"/>
  </si>
  <si>
    <t>公冶</t>
    <phoneticPr fontId="3" type="noConversion"/>
  </si>
  <si>
    <t>宗政</t>
    <phoneticPr fontId="3" type="noConversion"/>
  </si>
  <si>
    <t>濮阳</t>
    <phoneticPr fontId="3" type="noConversion"/>
  </si>
  <si>
    <t>淳于</t>
    <phoneticPr fontId="3" type="noConversion"/>
  </si>
  <si>
    <t>单于</t>
    <phoneticPr fontId="3" type="noConversion"/>
  </si>
  <si>
    <t>太叔</t>
    <phoneticPr fontId="3" type="noConversion"/>
  </si>
  <si>
    <t>申屠</t>
    <phoneticPr fontId="3" type="noConversion"/>
  </si>
  <si>
    <t>公孙</t>
    <phoneticPr fontId="3" type="noConversion"/>
  </si>
  <si>
    <t>仲孙</t>
    <phoneticPr fontId="3" type="noConversion"/>
  </si>
  <si>
    <t>轩辕</t>
    <phoneticPr fontId="3" type="noConversion"/>
  </si>
  <si>
    <t>令狐</t>
    <phoneticPr fontId="3" type="noConversion"/>
  </si>
  <si>
    <t>钟离</t>
    <phoneticPr fontId="3" type="noConversion"/>
  </si>
  <si>
    <t>宇文</t>
    <phoneticPr fontId="3" type="noConversion"/>
  </si>
  <si>
    <t>长孙</t>
    <phoneticPr fontId="3" type="noConversion"/>
  </si>
  <si>
    <t>慕容</t>
    <phoneticPr fontId="3" type="noConversion"/>
  </si>
  <si>
    <t>鲜于</t>
    <phoneticPr fontId="3" type="noConversion"/>
  </si>
  <si>
    <t>闾丘</t>
    <phoneticPr fontId="3" type="noConversion"/>
  </si>
  <si>
    <t>司徒</t>
    <phoneticPr fontId="3" type="noConversion"/>
  </si>
  <si>
    <t>司空</t>
    <phoneticPr fontId="3" type="noConversion"/>
  </si>
  <si>
    <t>亓官</t>
    <phoneticPr fontId="3" type="noConversion"/>
  </si>
  <si>
    <t>司寇</t>
    <phoneticPr fontId="3" type="noConversion"/>
  </si>
  <si>
    <t>仉督</t>
    <phoneticPr fontId="3" type="noConversion"/>
  </si>
  <si>
    <t>子车</t>
    <phoneticPr fontId="3" type="noConversion"/>
  </si>
  <si>
    <t>颛孙</t>
    <phoneticPr fontId="3" type="noConversion"/>
  </si>
  <si>
    <t>端木</t>
    <phoneticPr fontId="3" type="noConversion"/>
  </si>
  <si>
    <t>巫马</t>
    <phoneticPr fontId="3" type="noConversion"/>
  </si>
  <si>
    <t>公西</t>
    <phoneticPr fontId="3" type="noConversion"/>
  </si>
  <si>
    <t>漆雕</t>
    <phoneticPr fontId="3" type="noConversion"/>
  </si>
  <si>
    <t>乐正</t>
    <phoneticPr fontId="3" type="noConversion"/>
  </si>
  <si>
    <t>壤驷</t>
    <phoneticPr fontId="3" type="noConversion"/>
  </si>
  <si>
    <t>公良</t>
    <phoneticPr fontId="3" type="noConversion"/>
  </si>
  <si>
    <t>拓跋</t>
    <phoneticPr fontId="3" type="noConversion"/>
  </si>
  <si>
    <t>夹谷</t>
    <phoneticPr fontId="3" type="noConversion"/>
  </si>
  <si>
    <t>宰父</t>
    <phoneticPr fontId="3" type="noConversion"/>
  </si>
  <si>
    <t>谷梁</t>
    <phoneticPr fontId="3" type="noConversion"/>
  </si>
  <si>
    <t>段干</t>
    <phoneticPr fontId="3" type="noConversion"/>
  </si>
  <si>
    <t>百里</t>
    <phoneticPr fontId="3" type="noConversion"/>
  </si>
  <si>
    <t>东郭</t>
    <phoneticPr fontId="3" type="noConversion"/>
  </si>
  <si>
    <t>南门</t>
    <phoneticPr fontId="3" type="noConversion"/>
  </si>
  <si>
    <t>呼延</t>
    <phoneticPr fontId="3" type="noConversion"/>
  </si>
  <si>
    <t>羊舌</t>
    <phoneticPr fontId="3" type="noConversion"/>
  </si>
  <si>
    <t>微生</t>
    <phoneticPr fontId="3" type="noConversion"/>
  </si>
  <si>
    <t>梁丘</t>
    <phoneticPr fontId="3" type="noConversion"/>
  </si>
  <si>
    <t>左丘</t>
    <phoneticPr fontId="3" type="noConversion"/>
  </si>
  <si>
    <t>东门</t>
    <phoneticPr fontId="3" type="noConversion"/>
  </si>
  <si>
    <t>西门</t>
    <phoneticPr fontId="3" type="noConversion"/>
  </si>
  <si>
    <t>南宫</t>
    <phoneticPr fontId="3" type="noConversion"/>
  </si>
  <si>
    <t>来福</t>
    <phoneticPr fontId="3" type="noConversion"/>
  </si>
  <si>
    <t>富贵</t>
  </si>
  <si>
    <t>德贵</t>
  </si>
  <si>
    <t>延寿</t>
  </si>
  <si>
    <t>荣升</t>
  </si>
  <si>
    <t>继祖</t>
  </si>
  <si>
    <t>耀祖</t>
  </si>
  <si>
    <t>续宗</t>
  </si>
  <si>
    <t>德福</t>
  </si>
  <si>
    <t>进财</t>
  </si>
  <si>
    <t>志学</t>
  </si>
  <si>
    <t>平安</t>
  </si>
  <si>
    <t>长顺</t>
  </si>
  <si>
    <t>满仓</t>
  </si>
  <si>
    <t>满囤</t>
  </si>
  <si>
    <t>保成</t>
  </si>
  <si>
    <t>金锁</t>
  </si>
  <si>
    <t>栓柱</t>
  </si>
  <si>
    <t>月奴</t>
    <phoneticPr fontId="3" type="noConversion"/>
  </si>
  <si>
    <t>金奴</t>
    <phoneticPr fontId="3" type="noConversion"/>
  </si>
  <si>
    <t>璎珞</t>
    <phoneticPr fontId="3" type="noConversion"/>
  </si>
  <si>
    <t>玉奴</t>
    <phoneticPr fontId="3" type="noConversion"/>
  </si>
  <si>
    <t>红袖</t>
    <phoneticPr fontId="3" type="noConversion"/>
  </si>
  <si>
    <t>丽华</t>
    <phoneticPr fontId="3" type="noConversion"/>
  </si>
  <si>
    <t>妙仪</t>
    <phoneticPr fontId="3" type="noConversion"/>
  </si>
  <si>
    <t>英娥</t>
    <phoneticPr fontId="3" type="noConversion"/>
  </si>
  <si>
    <t>三娘</t>
    <phoneticPr fontId="3" type="noConversion"/>
  </si>
  <si>
    <t>采薇</t>
    <phoneticPr fontId="3" type="noConversion"/>
  </si>
  <si>
    <t>令月</t>
    <phoneticPr fontId="3" type="noConversion"/>
  </si>
  <si>
    <t>淑珍</t>
    <phoneticPr fontId="3" type="noConversion"/>
  </si>
  <si>
    <t>玉婉</t>
    <phoneticPr fontId="3" type="noConversion"/>
  </si>
  <si>
    <t>春梅</t>
    <phoneticPr fontId="3" type="noConversion"/>
  </si>
  <si>
    <t>玉环</t>
    <phoneticPr fontId="3" type="noConversion"/>
  </si>
  <si>
    <t>秋兰</t>
    <phoneticPr fontId="3" type="noConversion"/>
  </si>
  <si>
    <t>莺莺</t>
    <phoneticPr fontId="3" type="noConversion"/>
  </si>
  <si>
    <t>兰兰</t>
    <phoneticPr fontId="3" type="noConversion"/>
  </si>
  <si>
    <t>香香</t>
    <phoneticPr fontId="3" type="noConversion"/>
  </si>
  <si>
    <t>二柱</t>
    <phoneticPr fontId="3" type="noConversion"/>
  </si>
  <si>
    <t>卿卿</t>
    <phoneticPr fontId="3" type="noConversion"/>
  </si>
  <si>
    <t>田田</t>
    <phoneticPr fontId="3" type="noConversion"/>
  </si>
  <si>
    <t>守以</t>
    <phoneticPr fontId="3" type="noConversion"/>
  </si>
  <si>
    <t>见仁</t>
    <phoneticPr fontId="3" type="noConversion"/>
  </si>
  <si>
    <t>玉书</t>
    <phoneticPr fontId="3" type="noConversion"/>
  </si>
  <si>
    <t>如花</t>
    <phoneticPr fontId="3" type="noConversion"/>
  </si>
  <si>
    <t>玩家，狄仁杰弟子</t>
    <phoneticPr fontId="3" type="noConversion"/>
  </si>
  <si>
    <t>前往边疆讨生活的男子</t>
    <phoneticPr fontId="3" type="noConversion"/>
  </si>
  <si>
    <t>前往边疆讨生活的女子</t>
    <phoneticPr fontId="3" type="noConversion"/>
  </si>
  <si>
    <t>永宁县主簿</t>
    <phoneticPr fontId="3" type="noConversion"/>
  </si>
  <si>
    <t>永宁县当地女豪杰</t>
    <phoneticPr fontId="3" type="noConversion"/>
  </si>
  <si>
    <t>山贼</t>
    <phoneticPr fontId="3" type="noConversion"/>
  </si>
  <si>
    <t>永久县周边山贼</t>
    <phoneticPr fontId="3" type="noConversion"/>
  </si>
  <si>
    <t>驿卒</t>
    <phoneticPr fontId="3" type="noConversion"/>
  </si>
  <si>
    <t>传递政命的朝廷邮驿士卒</t>
    <phoneticPr fontId="3" type="noConversion"/>
  </si>
  <si>
    <t>自由领主</t>
    <phoneticPr fontId="3" type="noConversion"/>
  </si>
  <si>
    <t>游民</t>
    <phoneticPr fontId="3" type="noConversion"/>
  </si>
  <si>
    <t>平民</t>
    <phoneticPr fontId="3" type="noConversion"/>
  </si>
  <si>
    <t>游侠</t>
    <phoneticPr fontId="3" type="noConversion"/>
  </si>
  <si>
    <t>僚属</t>
    <phoneticPr fontId="3" type="noConversion"/>
  </si>
  <si>
    <t>其他</t>
    <phoneticPr fontId="3" type="noConversion"/>
  </si>
  <si>
    <t>下级领主</t>
    <phoneticPr fontId="3" type="noConversion"/>
  </si>
  <si>
    <t>完全自主的自由领主，可谓山大王</t>
    <phoneticPr fontId="3" type="noConversion"/>
  </si>
  <si>
    <t>高级别领主下的小领主，接受上级政命</t>
    <phoneticPr fontId="3" type="noConversion"/>
  </si>
  <si>
    <t>不属于任何领主的百姓</t>
    <phoneticPr fontId="3" type="noConversion"/>
  </si>
  <si>
    <t>领主治下的普通百姓</t>
    <phoneticPr fontId="3" type="noConversion"/>
  </si>
  <si>
    <t>投奔领主麾下的士族人士</t>
    <phoneticPr fontId="3" type="noConversion"/>
  </si>
  <si>
    <t>流浪各地，没有领主的士族浪人</t>
    <phoneticPr fontId="3" type="noConversion"/>
  </si>
  <si>
    <t>无任何从属的其他角色</t>
    <phoneticPr fontId="3" type="noConversion"/>
  </si>
  <si>
    <t>LingZhu</t>
    <phoneticPr fontId="3" type="noConversion"/>
  </si>
  <si>
    <t>YouMin</t>
    <phoneticPr fontId="3" type="noConversion"/>
  </si>
  <si>
    <t>PingMin</t>
    <phoneticPr fontId="3" type="noConversion"/>
  </si>
  <si>
    <t>YouXia</t>
    <phoneticPr fontId="3" type="noConversion"/>
  </si>
  <si>
    <t>LiaoShu</t>
    <phoneticPr fontId="3" type="noConversion"/>
  </si>
  <si>
    <t>农业</t>
    <phoneticPr fontId="3" type="noConversion"/>
  </si>
  <si>
    <t>林业</t>
    <phoneticPr fontId="3" type="noConversion"/>
  </si>
  <si>
    <t>牧业</t>
    <phoneticPr fontId="3" type="noConversion"/>
  </si>
  <si>
    <t>NongYe</t>
    <phoneticPr fontId="3" type="noConversion"/>
  </si>
  <si>
    <t>LinYe</t>
    <phoneticPr fontId="3" type="noConversion"/>
  </si>
  <si>
    <t>MuYe</t>
    <phoneticPr fontId="3" type="noConversion"/>
  </si>
  <si>
    <t>ShouLie</t>
    <phoneticPr fontId="3" type="noConversion"/>
  </si>
  <si>
    <t>政务</t>
    <phoneticPr fontId="3" type="noConversion"/>
  </si>
  <si>
    <t>民生</t>
    <phoneticPr fontId="3" type="noConversion"/>
  </si>
  <si>
    <t>邢名</t>
    <phoneticPr fontId="3" type="noConversion"/>
  </si>
  <si>
    <t>军务</t>
    <phoneticPr fontId="3" type="noConversion"/>
  </si>
  <si>
    <t>ZhengWu</t>
    <phoneticPr fontId="3" type="noConversion"/>
  </si>
  <si>
    <t>MinSheng</t>
    <phoneticPr fontId="3" type="noConversion"/>
  </si>
  <si>
    <t>XingMing</t>
    <phoneticPr fontId="3" type="noConversion"/>
  </si>
  <si>
    <t>JunWu</t>
    <phoneticPr fontId="3" type="noConversion"/>
  </si>
  <si>
    <t>与农作物打交道的专业能力</t>
    <phoneticPr fontId="3" type="noConversion"/>
  </si>
  <si>
    <t>与树木相处的专业能力</t>
    <phoneticPr fontId="3" type="noConversion"/>
  </si>
  <si>
    <t>狩猎、饲养动物的专业能力</t>
    <phoneticPr fontId="3" type="noConversion"/>
  </si>
  <si>
    <t>通过原料加工制作的专业能力</t>
    <phoneticPr fontId="3" type="noConversion"/>
  </si>
  <si>
    <t>处理地方一般政务的能力</t>
    <phoneticPr fontId="3" type="noConversion"/>
  </si>
  <si>
    <t>处理地方民生事务的能力</t>
    <phoneticPr fontId="3" type="noConversion"/>
  </si>
  <si>
    <t>处理地方邢名事务的能力</t>
    <phoneticPr fontId="3" type="noConversion"/>
  </si>
  <si>
    <t>处理地方军事事务的能力</t>
    <phoneticPr fontId="3" type="noConversion"/>
  </si>
  <si>
    <t>采摘</t>
    <phoneticPr fontId="3" type="noConversion"/>
  </si>
  <si>
    <t>果农</t>
    <phoneticPr fontId="3" type="noConversion"/>
  </si>
  <si>
    <t>农夫</t>
    <phoneticPr fontId="3" type="noConversion"/>
  </si>
  <si>
    <t>伐木工</t>
    <phoneticPr fontId="3" type="noConversion"/>
  </si>
  <si>
    <t>育林员</t>
    <phoneticPr fontId="3" type="noConversion"/>
  </si>
  <si>
    <t>猎手</t>
    <phoneticPr fontId="3" type="noConversion"/>
  </si>
  <si>
    <t>饲养员</t>
    <phoneticPr fontId="3" type="noConversion"/>
  </si>
  <si>
    <t>裁缝</t>
    <phoneticPr fontId="3" type="noConversion"/>
  </si>
  <si>
    <t>厨师</t>
    <phoneticPr fontId="3" type="noConversion"/>
  </si>
  <si>
    <t>无业</t>
    <phoneticPr fontId="3" type="noConversion"/>
  </si>
  <si>
    <t>搬运工</t>
    <phoneticPr fontId="3" type="noConversion"/>
  </si>
  <si>
    <t>建筑工</t>
    <phoneticPr fontId="3" type="noConversion"/>
  </si>
  <si>
    <t>主簿</t>
    <phoneticPr fontId="3" type="noConversion"/>
  </si>
  <si>
    <t>县丞</t>
    <phoneticPr fontId="3" type="noConversion"/>
  </si>
  <si>
    <t>师爷</t>
    <phoneticPr fontId="3" type="noConversion"/>
  </si>
  <si>
    <t>捕头</t>
    <phoneticPr fontId="3" type="noConversion"/>
  </si>
  <si>
    <t>校尉</t>
    <phoneticPr fontId="3" type="noConversion"/>
  </si>
  <si>
    <t>都尉</t>
    <phoneticPr fontId="3" type="noConversion"/>
  </si>
  <si>
    <t>账房</t>
    <phoneticPr fontId="3" type="noConversion"/>
  </si>
  <si>
    <t>等待分配工作的闲人</t>
    <phoneticPr fontId="3" type="noConversion"/>
  </si>
  <si>
    <t>负责房屋建造</t>
    <phoneticPr fontId="3" type="noConversion"/>
  </si>
  <si>
    <t>采摘野外食物</t>
    <phoneticPr fontId="3" type="noConversion"/>
  </si>
  <si>
    <t>种植果树采摘水果</t>
    <phoneticPr fontId="3" type="noConversion"/>
  </si>
  <si>
    <t>种植农作物并获得收成</t>
    <phoneticPr fontId="3" type="noConversion"/>
  </si>
  <si>
    <t>砍伐树木，收获木材</t>
    <phoneticPr fontId="3" type="noConversion"/>
  </si>
  <si>
    <t>培育种植树木，维持树林密度</t>
    <phoneticPr fontId="3" type="noConversion"/>
  </si>
  <si>
    <t>狩猎野外动物，获得各类食物食材</t>
    <phoneticPr fontId="3" type="noConversion"/>
  </si>
  <si>
    <t>饲养家禽家畜，收获食物食材</t>
    <phoneticPr fontId="3" type="noConversion"/>
  </si>
  <si>
    <t>将皮革、布料加工成衣物</t>
    <phoneticPr fontId="3" type="noConversion"/>
  </si>
  <si>
    <t>将各类食材加工成食物</t>
    <phoneticPr fontId="3" type="noConversion"/>
  </si>
  <si>
    <t>备餐员</t>
    <phoneticPr fontId="3" type="noConversion"/>
  </si>
  <si>
    <t>负责食堂分发食物</t>
    <phoneticPr fontId="3" type="noConversion"/>
  </si>
  <si>
    <t>县令佐贰官，全面辅佐县令处理政务</t>
    <phoneticPr fontId="3" type="noConversion"/>
  </si>
  <si>
    <t>非正式吏员，协助处理部分政务</t>
    <phoneticPr fontId="3" type="noConversion"/>
  </si>
  <si>
    <t>县令佐官，统管一县钱粮税役</t>
    <phoneticPr fontId="3" type="noConversion"/>
  </si>
  <si>
    <t>非正式吏员，协助管理府库钱粮</t>
    <phoneticPr fontId="3" type="noConversion"/>
  </si>
  <si>
    <t>县令佐官，统管一县缉捕典狱</t>
    <phoneticPr fontId="3" type="noConversion"/>
  </si>
  <si>
    <t>非正式吏员，主要负责治安缉捕</t>
    <phoneticPr fontId="3" type="noConversion"/>
  </si>
  <si>
    <t>负责地方军力日常训练、巡查</t>
    <phoneticPr fontId="3" type="noConversion"/>
  </si>
  <si>
    <t>地方军力主官，负责统兵征剿</t>
    <phoneticPr fontId="3" type="noConversion"/>
  </si>
  <si>
    <t>GongWu</t>
  </si>
  <si>
    <t>GongWu</t>
    <phoneticPr fontId="3" type="noConversion"/>
  </si>
  <si>
    <t>公务</t>
    <phoneticPr fontId="3" type="noConversion"/>
  </si>
  <si>
    <t>衙门官署从事役职的能力</t>
    <phoneticPr fontId="3" type="noConversion"/>
  </si>
  <si>
    <t>衙役</t>
    <phoneticPr fontId="3" type="noConversion"/>
  </si>
  <si>
    <t>捕快</t>
    <phoneticPr fontId="3" type="noConversion"/>
  </si>
  <si>
    <t>捕头属隶，从事治安巡查、侦缉抓捕</t>
    <phoneticPr fontId="3" type="noConversion"/>
  </si>
  <si>
    <t>衙门属隶，从事各类衙门勤杂事务</t>
    <phoneticPr fontId="3" type="noConversion"/>
  </si>
  <si>
    <t>WuYe</t>
    <phoneticPr fontId="3" type="noConversion"/>
  </si>
  <si>
    <t>JianZhuGong</t>
    <phoneticPr fontId="3" type="noConversion"/>
  </si>
  <si>
    <t>BeiCanYuan</t>
    <phoneticPr fontId="3" type="noConversion"/>
  </si>
  <si>
    <t>CaiZhai</t>
    <phoneticPr fontId="3" type="noConversion"/>
  </si>
  <si>
    <t>GuoNong</t>
    <phoneticPr fontId="3" type="noConversion"/>
  </si>
  <si>
    <t>NongFu</t>
    <phoneticPr fontId="3" type="noConversion"/>
  </si>
  <si>
    <t>FaMuGong</t>
    <phoneticPr fontId="3" type="noConversion"/>
  </si>
  <si>
    <t>YuLinYuan</t>
    <phoneticPr fontId="3" type="noConversion"/>
  </si>
  <si>
    <t>LieShou</t>
    <phoneticPr fontId="3" type="noConversion"/>
  </si>
  <si>
    <t>SiYangYuan</t>
    <phoneticPr fontId="3" type="noConversion"/>
  </si>
  <si>
    <t>CaiFeng</t>
    <phoneticPr fontId="3" type="noConversion"/>
  </si>
  <si>
    <t>ChuShi</t>
    <phoneticPr fontId="3" type="noConversion"/>
  </si>
  <si>
    <t>YaYi</t>
    <phoneticPr fontId="3" type="noConversion"/>
  </si>
  <si>
    <t>BuKuai</t>
    <phoneticPr fontId="3" type="noConversion"/>
  </si>
  <si>
    <t>XianCheng</t>
    <phoneticPr fontId="3" type="noConversion"/>
  </si>
  <si>
    <t>ShiYe</t>
    <phoneticPr fontId="3" type="noConversion"/>
  </si>
  <si>
    <t>ZhuBu</t>
    <phoneticPr fontId="3" type="noConversion"/>
  </si>
  <si>
    <t>ZhangFang</t>
    <phoneticPr fontId="3" type="noConversion"/>
  </si>
  <si>
    <t>BuTou</t>
    <phoneticPr fontId="3" type="noConversion"/>
  </si>
  <si>
    <t>XiaoWei</t>
    <phoneticPr fontId="3" type="noConversion"/>
  </si>
  <si>
    <t>DuWei</t>
    <phoneticPr fontId="3" type="noConversion"/>
  </si>
  <si>
    <t>21,2;22,3;23,1;24,0</t>
    <phoneticPr fontId="3" type="noConversion"/>
  </si>
  <si>
    <t>21,1;22,0;23,3;34,2</t>
    <phoneticPr fontId="3" type="noConversion"/>
  </si>
  <si>
    <t>BaiXingNan</t>
    <phoneticPr fontId="3" type="noConversion"/>
  </si>
  <si>
    <t>BaiXingNv</t>
    <phoneticPr fontId="3" type="noConversion"/>
  </si>
  <si>
    <t>YuShu</t>
    <phoneticPr fontId="3" type="noConversion"/>
  </si>
  <si>
    <t>RuHua</t>
    <phoneticPr fontId="3" type="noConversion"/>
  </si>
  <si>
    <t>ShanZei</t>
    <phoneticPr fontId="3" type="noConversion"/>
  </si>
  <si>
    <t>YiZu</t>
    <phoneticPr fontId="3" type="noConversion"/>
  </si>
  <si>
    <t>Normal</t>
    <phoneticPr fontId="3" type="noConversion"/>
  </si>
  <si>
    <t>Player</t>
    <phoneticPr fontId="3" type="noConversion"/>
  </si>
  <si>
    <t>Elite</t>
    <phoneticPr fontId="3" type="noConversion"/>
  </si>
  <si>
    <t>TRUE</t>
    <phoneticPr fontId="3" type="noConversion"/>
  </si>
  <si>
    <t>玩家形象</t>
    <phoneticPr fontId="3" type="noConversion"/>
  </si>
  <si>
    <t>百姓·男</t>
    <phoneticPr fontId="3" type="noConversion"/>
  </si>
  <si>
    <t>百姓·女</t>
    <phoneticPr fontId="3" type="noConversion"/>
  </si>
  <si>
    <t>1,3;2,3;3,3;4,3</t>
    <phoneticPr fontId="3" type="noConversion"/>
  </si>
  <si>
    <t>Role.ability</t>
    <phoneticPr fontId="3" type="noConversion"/>
  </si>
  <si>
    <t>Role.desire</t>
    <phoneticPr fontId="3" type="noConversion"/>
  </si>
  <si>
    <t>RoleLevel.type</t>
    <phoneticPr fontId="3" type="noConversion"/>
  </si>
  <si>
    <t>intarray</t>
    <phoneticPr fontId="3" type="noConversion"/>
  </si>
  <si>
    <t>力量</t>
    <phoneticPr fontId="3" type="noConversion"/>
  </si>
  <si>
    <t>耐力</t>
    <phoneticPr fontId="3" type="noConversion"/>
  </si>
  <si>
    <t>敏捷</t>
    <phoneticPr fontId="3" type="noConversion"/>
  </si>
  <si>
    <t>技巧</t>
    <phoneticPr fontId="3" type="noConversion"/>
  </si>
  <si>
    <t>统率</t>
    <phoneticPr fontId="3" type="noConversion"/>
  </si>
  <si>
    <t>武勇</t>
    <phoneticPr fontId="3" type="noConversion"/>
  </si>
  <si>
    <t>力</t>
    <phoneticPr fontId="3" type="noConversion"/>
  </si>
  <si>
    <t>敏</t>
    <phoneticPr fontId="3" type="noConversion"/>
  </si>
  <si>
    <t>技</t>
    <phoneticPr fontId="3" type="noConversion"/>
  </si>
  <si>
    <t>耐</t>
    <phoneticPr fontId="3" type="noConversion"/>
  </si>
  <si>
    <t>统</t>
    <phoneticPr fontId="3" type="noConversion"/>
  </si>
  <si>
    <t>武</t>
    <phoneticPr fontId="3" type="noConversion"/>
  </si>
  <si>
    <t>智</t>
    <phoneticPr fontId="3" type="noConversion"/>
  </si>
  <si>
    <t>智力</t>
    <phoneticPr fontId="3" type="noConversion"/>
  </si>
  <si>
    <t>魅</t>
    <phoneticPr fontId="3" type="noConversion"/>
  </si>
  <si>
    <t>魅力</t>
    <phoneticPr fontId="3" type="noConversion"/>
  </si>
  <si>
    <t>体力强健</t>
    <phoneticPr fontId="3" type="noConversion"/>
  </si>
  <si>
    <t>身形矫健</t>
    <phoneticPr fontId="3" type="noConversion"/>
  </si>
  <si>
    <t>心灵手巧</t>
    <phoneticPr fontId="3" type="noConversion"/>
  </si>
  <si>
    <t>抗压能力强</t>
    <phoneticPr fontId="3" type="noConversion"/>
  </si>
  <si>
    <t>能带更多小弟</t>
    <phoneticPr fontId="3" type="noConversion"/>
  </si>
  <si>
    <t>能挑更多小弟</t>
    <phoneticPr fontId="3" type="noConversion"/>
  </si>
  <si>
    <t>能玩更多小弟</t>
    <phoneticPr fontId="3" type="noConversion"/>
  </si>
  <si>
    <t>能骗更多小弟</t>
    <phoneticPr fontId="3" type="noConversion"/>
  </si>
  <si>
    <t>LiLiang</t>
    <phoneticPr fontId="3" type="noConversion"/>
  </si>
  <si>
    <t>MinJie</t>
    <phoneticPr fontId="3" type="noConversion"/>
  </si>
  <si>
    <t>JiQiao</t>
    <phoneticPr fontId="3" type="noConversion"/>
  </si>
  <si>
    <t>NaiLi</t>
    <phoneticPr fontId="3" type="noConversion"/>
  </si>
  <si>
    <t>TongShai</t>
    <phoneticPr fontId="3" type="noConversion"/>
  </si>
  <si>
    <t>YongWu</t>
    <phoneticPr fontId="3" type="noConversion"/>
  </si>
  <si>
    <t>ZhiLi</t>
    <phoneticPr fontId="3" type="noConversion"/>
  </si>
  <si>
    <t>MeiLi</t>
    <phoneticPr fontId="3" type="noConversion"/>
  </si>
  <si>
    <t>食物</t>
    <phoneticPr fontId="3" type="noConversion"/>
  </si>
  <si>
    <t>职业</t>
    <phoneticPr fontId="3" type="noConversion"/>
  </si>
  <si>
    <t>食</t>
    <phoneticPr fontId="3" type="noConversion"/>
  </si>
  <si>
    <t>业</t>
    <phoneticPr fontId="3" type="noConversion"/>
  </si>
  <si>
    <t>民以食为天</t>
    <phoneticPr fontId="3" type="noConversion"/>
  </si>
  <si>
    <t>安居且乐业</t>
    <phoneticPr fontId="3" type="noConversion"/>
  </si>
  <si>
    <t>ShiWu</t>
    <phoneticPr fontId="3" type="noConversion"/>
  </si>
  <si>
    <t>ZhiYe</t>
    <phoneticPr fontId="3" type="noConversion"/>
  </si>
  <si>
    <t>领主等级</t>
    <phoneticPr fontId="3" type="noConversion"/>
  </si>
  <si>
    <t>领主官阶</t>
    <phoneticPr fontId="3" type="noConversion"/>
  </si>
  <si>
    <t>农业等级</t>
    <phoneticPr fontId="3" type="noConversion"/>
  </si>
  <si>
    <t>林业等级</t>
    <phoneticPr fontId="3" type="noConversion"/>
  </si>
  <si>
    <t>牧业等级</t>
    <phoneticPr fontId="3" type="noConversion"/>
  </si>
  <si>
    <t>匠作</t>
    <phoneticPr fontId="3" type="noConversion"/>
  </si>
  <si>
    <t>匠作等级</t>
    <phoneticPr fontId="3" type="noConversion"/>
  </si>
  <si>
    <t>公务等级</t>
    <phoneticPr fontId="3" type="noConversion"/>
  </si>
  <si>
    <t>政务等级</t>
    <phoneticPr fontId="3" type="noConversion"/>
  </si>
  <si>
    <t>民生等级</t>
    <phoneticPr fontId="3" type="noConversion"/>
  </si>
  <si>
    <t>邢名等级</t>
    <phoneticPr fontId="3" type="noConversion"/>
  </si>
  <si>
    <t>军务等级</t>
    <phoneticPr fontId="3" type="noConversion"/>
  </si>
  <si>
    <t>农</t>
    <phoneticPr fontId="3" type="noConversion"/>
  </si>
  <si>
    <t>林</t>
    <phoneticPr fontId="3" type="noConversion"/>
  </si>
  <si>
    <t>牧</t>
    <phoneticPr fontId="3" type="noConversion"/>
  </si>
  <si>
    <t>匠</t>
    <phoneticPr fontId="3" type="noConversion"/>
  </si>
  <si>
    <t>公</t>
    <phoneticPr fontId="3" type="noConversion"/>
  </si>
  <si>
    <t>政</t>
    <phoneticPr fontId="3" type="noConversion"/>
  </si>
  <si>
    <t>民</t>
    <phoneticPr fontId="3" type="noConversion"/>
  </si>
  <si>
    <t>刑</t>
    <phoneticPr fontId="3" type="noConversion"/>
  </si>
  <si>
    <t>军</t>
    <phoneticPr fontId="3" type="noConversion"/>
  </si>
  <si>
    <t>LingZhuGuanJie</t>
    <phoneticPr fontId="3" type="noConversion"/>
  </si>
  <si>
    <t>LingZhuDengJi</t>
    <phoneticPr fontId="3" type="noConversion"/>
  </si>
  <si>
    <t>NongYeDengJi</t>
    <phoneticPr fontId="3" type="noConversion"/>
  </si>
  <si>
    <t>LinYe</t>
  </si>
  <si>
    <t>LinYeDengJi</t>
    <phoneticPr fontId="3" type="noConversion"/>
  </si>
  <si>
    <t>MuYeDengJi</t>
    <phoneticPr fontId="3" type="noConversion"/>
  </si>
  <si>
    <t>JiangZuoDengJi</t>
    <phoneticPr fontId="3" type="noConversion"/>
  </si>
  <si>
    <t>GongWuDengJi</t>
    <phoneticPr fontId="3" type="noConversion"/>
  </si>
  <si>
    <t>ZhengWuDengJi</t>
    <phoneticPr fontId="3" type="noConversion"/>
  </si>
  <si>
    <t>MinShengDengJi</t>
    <phoneticPr fontId="3" type="noConversion"/>
  </si>
  <si>
    <t>XingMingDengJi</t>
    <phoneticPr fontId="3" type="noConversion"/>
  </si>
  <si>
    <t>JunWuDengJi</t>
    <phoneticPr fontId="3" type="noConversion"/>
  </si>
  <si>
    <t>阶</t>
    <phoneticPr fontId="3" type="noConversion"/>
  </si>
  <si>
    <t>级</t>
    <phoneticPr fontId="3" type="noConversion"/>
  </si>
  <si>
    <t>5,4;6,3;7,7;8,6</t>
    <phoneticPr fontId="3" type="noConversion"/>
  </si>
  <si>
    <t>5,6;6,8;7,3;8,4</t>
    <phoneticPr fontId="3" type="noConversion"/>
  </si>
  <si>
    <t>流民</t>
    <phoneticPr fontId="3" type="noConversion"/>
  </si>
  <si>
    <t>灾民</t>
    <phoneticPr fontId="3" type="noConversion"/>
  </si>
  <si>
    <t>流浪者</t>
    <phoneticPr fontId="3" type="noConversion"/>
  </si>
  <si>
    <t>旅行者</t>
    <phoneticPr fontId="3" type="noConversion"/>
  </si>
  <si>
    <t>无归属等待收留的平民</t>
    <phoneticPr fontId="3" type="noConversion"/>
  </si>
  <si>
    <t>受灾逃难而来的平民</t>
    <phoneticPr fontId="3" type="noConversion"/>
  </si>
  <si>
    <t>无归属等待招募的士族</t>
    <phoneticPr fontId="3" type="noConversion"/>
  </si>
  <si>
    <t>云游各地的士族</t>
    <phoneticPr fontId="3" type="noConversion"/>
  </si>
  <si>
    <t>LiuMin</t>
    <phoneticPr fontId="3" type="noConversion"/>
  </si>
  <si>
    <t>ZaiMin</t>
    <phoneticPr fontId="3" type="noConversion"/>
  </si>
  <si>
    <t>LiuLangZhe</t>
    <phoneticPr fontId="3" type="noConversion"/>
  </si>
  <si>
    <t>LvXingZhe</t>
    <phoneticPr fontId="3" type="noConversion"/>
  </si>
  <si>
    <t>文弱书生（娘炮基佬）</t>
    <phoneticPr fontId="3" type="noConversion"/>
  </si>
  <si>
    <t>巾帼英雄（金刚芭比）</t>
    <phoneticPr fontId="3" type="noConversion"/>
  </si>
  <si>
    <t>Tag.group</t>
    <phoneticPr fontId="3" type="noConversion"/>
  </si>
  <si>
    <t>性格</t>
    <phoneticPr fontId="3" type="noConversion"/>
  </si>
  <si>
    <t>能力</t>
    <phoneticPr fontId="3" type="noConversion"/>
  </si>
  <si>
    <t>喜好</t>
    <phoneticPr fontId="3" type="noConversion"/>
  </si>
  <si>
    <t>外貌</t>
    <phoneticPr fontId="3" type="noConversion"/>
  </si>
  <si>
    <t>貌</t>
    <phoneticPr fontId="3" type="noConversion"/>
  </si>
  <si>
    <t>性</t>
    <phoneticPr fontId="3" type="noConversion"/>
  </si>
  <si>
    <t>能</t>
    <phoneticPr fontId="3" type="noConversion"/>
  </si>
  <si>
    <t>好</t>
    <phoneticPr fontId="3" type="noConversion"/>
  </si>
  <si>
    <t>WaiMao</t>
    <phoneticPr fontId="3" type="noConversion"/>
  </si>
  <si>
    <t>XingGe</t>
    <phoneticPr fontId="3" type="noConversion"/>
  </si>
  <si>
    <t>NengLi</t>
    <phoneticPr fontId="3" type="noConversion"/>
  </si>
  <si>
    <t>XiHao</t>
    <phoneticPr fontId="3" type="noConversion"/>
  </si>
  <si>
    <t>角色外貌特征</t>
    <phoneticPr fontId="3" type="noConversion"/>
  </si>
  <si>
    <t>角色性格特点</t>
    <phoneticPr fontId="3" type="noConversion"/>
  </si>
  <si>
    <t>角色能力特长</t>
    <phoneticPr fontId="3" type="noConversion"/>
  </si>
  <si>
    <t>角色个人喜好</t>
    <phoneticPr fontId="3" type="noConversion"/>
  </si>
  <si>
    <t>标签随机时，出现权重，可控制标签稀有度</t>
  </si>
  <si>
    <t>五大三粗</t>
    <phoneticPr fontId="3" type="noConversion"/>
  </si>
  <si>
    <t>弱不禁风</t>
    <phoneticPr fontId="3" type="noConversion"/>
  </si>
  <si>
    <t>孔武有力</t>
    <phoneticPr fontId="3" type="noConversion"/>
  </si>
  <si>
    <t>男生女相</t>
    <phoneticPr fontId="3" type="noConversion"/>
  </si>
  <si>
    <t>急躁</t>
    <phoneticPr fontId="3" type="noConversion"/>
  </si>
  <si>
    <t>细致</t>
    <phoneticPr fontId="3" type="noConversion"/>
  </si>
  <si>
    <t>大胃王</t>
    <phoneticPr fontId="3" type="noConversion"/>
  </si>
  <si>
    <t>完美主义</t>
    <phoneticPr fontId="3" type="noConversion"/>
  </si>
  <si>
    <t>武术世家</t>
    <phoneticPr fontId="3" type="noConversion"/>
  </si>
  <si>
    <t>拈花惹草</t>
    <phoneticPr fontId="3" type="noConversion"/>
  </si>
  <si>
    <t>打抱不平</t>
    <phoneticPr fontId="3" type="noConversion"/>
  </si>
  <si>
    <t>体力充沛</t>
    <phoneticPr fontId="3" type="noConversion"/>
  </si>
  <si>
    <t>行动快速</t>
    <phoneticPr fontId="3" type="noConversion"/>
  </si>
  <si>
    <t>爱偷懒</t>
    <phoneticPr fontId="3" type="noConversion"/>
  </si>
  <si>
    <t>体格健壮，力量和耐力小幅提升</t>
    <phoneticPr fontId="3" type="noConversion"/>
  </si>
  <si>
    <t>身体孱弱，力量和食量较小</t>
    <phoneticPr fontId="3" type="noConversion"/>
  </si>
  <si>
    <t>明明是男，看着似女，安能辨我是雄雌</t>
    <phoneticPr fontId="3" type="noConversion"/>
  </si>
  <si>
    <t>壮而有力，衣服随时有爆裂的风险</t>
    <phoneticPr fontId="3" type="noConversion"/>
  </si>
  <si>
    <t>行事急躁，敏捷提升、技巧降低</t>
    <phoneticPr fontId="3" type="noConversion"/>
  </si>
  <si>
    <t>做事仔细，技巧提升、敏捷降低</t>
    <phoneticPr fontId="3" type="noConversion"/>
  </si>
  <si>
    <t>强迫症的美好称呼，就是龟毛得很</t>
    <phoneticPr fontId="3" type="noConversion"/>
  </si>
  <si>
    <t>不知疲倦，耐力提升</t>
    <phoneticPr fontId="3" type="noConversion"/>
  </si>
  <si>
    <t>来去如风，工作速度提升</t>
    <phoneticPr fontId="3" type="noConversion"/>
  </si>
  <si>
    <t>黑道家庭出身，拳脚棍棒、石灰迷药样样精通</t>
    <phoneticPr fontId="3" type="noConversion"/>
  </si>
  <si>
    <t>就是吃得多，不好意思，老板</t>
    <phoneticPr fontId="3" type="noConversion"/>
  </si>
  <si>
    <t>喜欢带薪拉屎、带薪睡觉</t>
    <phoneticPr fontId="3" type="noConversion"/>
  </si>
  <si>
    <t>寡人之疾，就是喜欢在女人堆里</t>
    <phoneticPr fontId="3" type="noConversion"/>
  </si>
  <si>
    <t>路见不平，就是有块石头突起来也要磨平它</t>
    <phoneticPr fontId="3" type="noConversion"/>
  </si>
  <si>
    <t>12010103,12010203,12010403</t>
    <phoneticPr fontId="3" type="noConversion"/>
  </si>
  <si>
    <t>12010104,12010303,12010404</t>
    <phoneticPr fontId="3" type="noConversion"/>
  </si>
  <si>
    <t>101,102,103,104</t>
    <phoneticPr fontId="3" type="noConversion"/>
  </si>
  <si>
    <t>pleb_waif_role</t>
    <phoneticPr fontId="3" type="noConversion"/>
  </si>
  <si>
    <t>4</t>
    <phoneticPr fontId="3" type="noConversion"/>
  </si>
  <si>
    <t>120</t>
    <phoneticPr fontId="3" type="noConversion"/>
  </si>
  <si>
    <t>pleb_waif_visit_interval_sec</t>
    <phoneticPr fontId="3" type="noConversion"/>
  </si>
  <si>
    <t>无主平民初始数量</t>
    <phoneticPr fontId="3" type="noConversion"/>
  </si>
  <si>
    <t>无主平民随机角色</t>
    <phoneticPr fontId="3" type="noConversion"/>
  </si>
  <si>
    <t>无主平民来访间隔时间，单位：秒sec</t>
    <phoneticPr fontId="3" type="noConversion"/>
  </si>
  <si>
    <t>pleb_waif_initial_cnt</t>
    <phoneticPr fontId="3" type="noConversion"/>
  </si>
  <si>
    <t>label</t>
  </si>
  <si>
    <t>storage_mode</t>
  </si>
  <si>
    <t>price</t>
  </si>
  <si>
    <t>储存模式</t>
  </si>
  <si>
    <t>8位数字编号，20xxxyyy，xxx=type，yyy=纯流水</t>
  </si>
  <si>
    <t>领主经验</t>
    <phoneticPr fontId="3" type="noConversion"/>
  </si>
  <si>
    <t>农业经验</t>
  </si>
  <si>
    <t>林业经验</t>
  </si>
  <si>
    <t>牧业经验</t>
  </si>
  <si>
    <t>匠作经验</t>
  </si>
  <si>
    <t>公务经验</t>
  </si>
  <si>
    <t>政务经验</t>
  </si>
  <si>
    <t>民生经验</t>
  </si>
  <si>
    <t>邢名经验</t>
  </si>
  <si>
    <t>军务经验</t>
  </si>
  <si>
    <t>NongYe</t>
  </si>
  <si>
    <t>MuYe</t>
  </si>
  <si>
    <t>ShouLie</t>
  </si>
  <si>
    <t>ZhengWu</t>
  </si>
  <si>
    <t>MinSheng</t>
  </si>
  <si>
    <t>XingMing</t>
  </si>
  <si>
    <t>JunWu</t>
  </si>
  <si>
    <t>石料</t>
    <phoneticPr fontId="3" type="noConversion"/>
  </si>
  <si>
    <t>铁矿</t>
    <phoneticPr fontId="3" type="noConversion"/>
  </si>
  <si>
    <t>浆果</t>
    <phoneticPr fontId="3" type="noConversion"/>
  </si>
  <si>
    <t>生肉</t>
    <phoneticPr fontId="3" type="noConversion"/>
  </si>
  <si>
    <t>面粉</t>
    <phoneticPr fontId="3" type="noConversion"/>
  </si>
  <si>
    <t>皮革</t>
    <phoneticPr fontId="3" type="noConversion"/>
  </si>
  <si>
    <t>布料</t>
    <phoneticPr fontId="3" type="noConversion"/>
  </si>
  <si>
    <t>皮衣</t>
    <phoneticPr fontId="3" type="noConversion"/>
  </si>
  <si>
    <t>棉花</t>
    <phoneticPr fontId="3" type="noConversion"/>
  </si>
  <si>
    <t>棉鞋</t>
    <phoneticPr fontId="3" type="noConversion"/>
  </si>
  <si>
    <t>array["type:int","id:int"]</t>
  </si>
  <si>
    <t>approach</t>
  </si>
  <si>
    <t>物品编号</t>
  </si>
  <si>
    <t>物品类型</t>
  </si>
  <si>
    <t>物品签组</t>
  </si>
  <si>
    <t>物品名称</t>
  </si>
  <si>
    <t>物品描述</t>
  </si>
  <si>
    <t>物品价格</t>
  </si>
  <si>
    <t>获取来源</t>
  </si>
  <si>
    <t>物品资源标识字符串ResName</t>
  </si>
  <si>
    <t>物品显示分组，拓展备用</t>
  </si>
  <si>
    <t>物品名称文本，5个字符内</t>
  </si>
  <si>
    <t>物品描述文本，20个字符内</t>
  </si>
  <si>
    <t>物品出售价格（收益货币id和数量），直接出售价格，或贸易基准价格</t>
  </si>
  <si>
    <t>纪念碑</t>
    <phoneticPr fontId="3" type="noConversion"/>
  </si>
  <si>
    <t>陷阱</t>
    <phoneticPr fontId="3" type="noConversion"/>
  </si>
  <si>
    <t>铜钱</t>
    <phoneticPr fontId="3" type="noConversion"/>
  </si>
  <si>
    <t>银两</t>
    <phoneticPr fontId="3" type="noConversion"/>
  </si>
  <si>
    <t>政令</t>
    <phoneticPr fontId="3" type="noConversion"/>
  </si>
  <si>
    <t>新手资源包</t>
    <phoneticPr fontId="3" type="noConversion"/>
  </si>
  <si>
    <t>粉丝酬谢包</t>
    <phoneticPr fontId="3" type="noConversion"/>
  </si>
  <si>
    <t>领主等级经验</t>
    <phoneticPr fontId="3" type="noConversion"/>
  </si>
  <si>
    <t>农业等级经验</t>
    <phoneticPr fontId="3" type="noConversion"/>
  </si>
  <si>
    <t>林业等级经验</t>
    <phoneticPr fontId="3" type="noConversion"/>
  </si>
  <si>
    <t>牧业等级经验</t>
    <phoneticPr fontId="3" type="noConversion"/>
  </si>
  <si>
    <t>讲座等级经验</t>
    <phoneticPr fontId="3" type="noConversion"/>
  </si>
  <si>
    <t>公务等级经验</t>
    <phoneticPr fontId="3" type="noConversion"/>
  </si>
  <si>
    <t>政务等级经验</t>
    <phoneticPr fontId="3" type="noConversion"/>
  </si>
  <si>
    <t>民生等级经验</t>
    <phoneticPr fontId="3" type="noConversion"/>
  </si>
  <si>
    <t>邢名等级经验</t>
    <phoneticPr fontId="3" type="noConversion"/>
  </si>
  <si>
    <t>军务等级经验</t>
    <phoneticPr fontId="3" type="noConversion"/>
  </si>
  <si>
    <t>孔方兄，最基础的制钱</t>
    <phoneticPr fontId="3" type="noConversion"/>
  </si>
  <si>
    <t>雪花白银，高级货币</t>
    <phoneticPr fontId="3" type="noConversion"/>
  </si>
  <si>
    <t>发布政令消耗</t>
    <phoneticPr fontId="3" type="noConversion"/>
  </si>
  <si>
    <t>土木工程基础资源</t>
    <phoneticPr fontId="3" type="noConversion"/>
  </si>
  <si>
    <t>木料箱</t>
    <phoneticPr fontId="3" type="noConversion"/>
  </si>
  <si>
    <t>石料箱</t>
    <phoneticPr fontId="3" type="noConversion"/>
  </si>
  <si>
    <t>高级建筑、工具生产基础资源</t>
    <phoneticPr fontId="3" type="noConversion"/>
  </si>
  <si>
    <t>由面粉制成的基础食物</t>
    <phoneticPr fontId="3" type="noConversion"/>
  </si>
  <si>
    <t>野外采摘的果子，勉强充饥</t>
    <phoneticPr fontId="3" type="noConversion"/>
  </si>
  <si>
    <t>生肉简单烤制后的食物</t>
    <phoneticPr fontId="3" type="noConversion"/>
  </si>
  <si>
    <t>狩猎或捕杀动物后获得的食材</t>
    <phoneticPr fontId="3" type="noConversion"/>
  </si>
  <si>
    <t>加工小麦获得的食材</t>
    <phoneticPr fontId="3" type="noConversion"/>
  </si>
  <si>
    <t>小麦</t>
    <phoneticPr fontId="3" type="noConversion"/>
  </si>
  <si>
    <t>果酒</t>
    <phoneticPr fontId="3" type="noConversion"/>
  </si>
  <si>
    <t>狩猎或捕杀动物后获得的材料</t>
    <phoneticPr fontId="3" type="noConversion"/>
  </si>
  <si>
    <t>收割种植小麦后收获的食材</t>
    <phoneticPr fontId="3" type="noConversion"/>
  </si>
  <si>
    <t>米酒</t>
    <phoneticPr fontId="3" type="noConversion"/>
  </si>
  <si>
    <t>小麦酿造后的粗劣酒品</t>
    <phoneticPr fontId="3" type="noConversion"/>
  </si>
  <si>
    <t>浆果酿造后的粗劣酒品</t>
    <phoneticPr fontId="3" type="noConversion"/>
  </si>
  <si>
    <t>采摘种植棉花后收获的材料</t>
    <phoneticPr fontId="3" type="noConversion"/>
  </si>
  <si>
    <t>加工面换后获得的材料</t>
    <phoneticPr fontId="3" type="noConversion"/>
  </si>
  <si>
    <t>装箱的木材，打开后可获得木材</t>
    <phoneticPr fontId="3" type="noConversion"/>
  </si>
  <si>
    <t>装箱的石料，打开后可获得石料</t>
    <phoneticPr fontId="3" type="noConversion"/>
  </si>
  <si>
    <t>新玩家福利礼包，打开获得各种物品</t>
    <phoneticPr fontId="3" type="noConversion"/>
  </si>
  <si>
    <t>粉丝玩家的酬谢礼包，内容丰富</t>
    <phoneticPr fontId="3" type="noConversion"/>
  </si>
  <si>
    <t>使用皮革制成的衣物</t>
    <phoneticPr fontId="3" type="noConversion"/>
  </si>
  <si>
    <t>使用布料和棉花制成的鞋履</t>
    <phoneticPr fontId="3" type="noConversion"/>
  </si>
  <si>
    <t>工器坊打造，可布置陷阱捕猎或防贼</t>
    <phoneticPr fontId="3" type="noConversion"/>
  </si>
  <si>
    <t>成就奖励，可布置装饰领地</t>
    <phoneticPr fontId="3" type="noConversion"/>
  </si>
  <si>
    <t>array["id:int","cnt:int","prob:int"]</t>
  </si>
  <si>
    <t>items</t>
  </si>
  <si>
    <t>掉落编号</t>
  </si>
  <si>
    <t>掉落类型</t>
  </si>
  <si>
    <t>掉落内容</t>
  </si>
  <si>
    <t>8位数字编号，210xxyyy，xx=type，yyy=纯流水</t>
  </si>
  <si>
    <t>掉落随机类型枚举：1=独立概率，2=互斥概率，3=逐项掉落</t>
  </si>
  <si>
    <t>掉落项中的项目编号（Item.id或Drop.id）、数量、几率/权重</t>
  </si>
  <si>
    <t>木材100</t>
    <phoneticPr fontId="3" type="noConversion"/>
  </si>
  <si>
    <t>石料100</t>
    <phoneticPr fontId="3" type="noConversion"/>
  </si>
  <si>
    <t>木石铁，三者择一100</t>
    <phoneticPr fontId="3" type="noConversion"/>
  </si>
  <si>
    <t>粮果肉，三者择一100</t>
    <phoneticPr fontId="3" type="noConversion"/>
  </si>
  <si>
    <t>伐木，90%得1，10%得2</t>
    <phoneticPr fontId="3" type="noConversion"/>
  </si>
  <si>
    <t>采石，80%得单石1，20%得铁1且有50%几率伴石1</t>
    <phoneticPr fontId="3" type="noConversion"/>
  </si>
  <si>
    <t>石料1几率50%，铁矿1必得</t>
    <phoneticPr fontId="3" type="noConversion"/>
  </si>
  <si>
    <t>备用</t>
    <phoneticPr fontId="3" type="noConversion"/>
  </si>
  <si>
    <t>20101003,1</t>
    <phoneticPr fontId="3" type="noConversion"/>
  </si>
  <si>
    <t/>
  </si>
  <si>
    <t>1,2</t>
  </si>
  <si>
    <t>1,1;2,1</t>
  </si>
  <si>
    <t>矿业</t>
    <phoneticPr fontId="3" type="noConversion"/>
  </si>
  <si>
    <t>KuangYe</t>
    <phoneticPr fontId="3" type="noConversion"/>
  </si>
  <si>
    <t>采石工</t>
    <phoneticPr fontId="3" type="noConversion"/>
  </si>
  <si>
    <t>KuangGong</t>
    <phoneticPr fontId="3" type="noConversion"/>
  </si>
  <si>
    <t>开采石料，苦的一逼</t>
    <phoneticPr fontId="3" type="noConversion"/>
  </si>
  <si>
    <t>挖铁挖煤，不见天日</t>
    <phoneticPr fontId="3" type="noConversion"/>
  </si>
  <si>
    <t>KuangYeDengJi</t>
    <phoneticPr fontId="3" type="noConversion"/>
  </si>
  <si>
    <t>矿业等级</t>
    <phoneticPr fontId="3" type="noConversion"/>
  </si>
  <si>
    <t>矿</t>
    <phoneticPr fontId="3" type="noConversion"/>
  </si>
  <si>
    <t>3,1;4,1</t>
  </si>
  <si>
    <t>2,1;4,1</t>
  </si>
  <si>
    <t>2,1;3,1</t>
  </si>
  <si>
    <t>1,1;4,1</t>
  </si>
  <si>
    <t>1,1;3,1</t>
  </si>
  <si>
    <t>4,2</t>
  </si>
  <si>
    <t>7,2;8,1</t>
  </si>
  <si>
    <t>5,1;6,1;7,1</t>
  </si>
  <si>
    <t>5,1;8,2</t>
  </si>
  <si>
    <t>7,3</t>
  </si>
  <si>
    <t>5,1;7,1;8,1</t>
  </si>
  <si>
    <t>7,1;8,2</t>
  </si>
  <si>
    <t>6,1;7,1;8,1</t>
  </si>
  <si>
    <t>5,2;8,1</t>
  </si>
  <si>
    <t>6,2;7,1</t>
  </si>
  <si>
    <t>5,1;6,1;8,1</t>
  </si>
  <si>
    <t>6,2;8,1</t>
  </si>
  <si>
    <t>5,1;6,2</t>
  </si>
  <si>
    <t>5,2;6,1</t>
  </si>
  <si>
    <t>5,2;7,1</t>
  </si>
  <si>
    <t>901xxxxx</t>
    <phoneticPr fontId="3" type="noConversion"/>
  </si>
  <si>
    <t>902xxxxx</t>
    <phoneticPr fontId="3" type="noConversion"/>
  </si>
  <si>
    <t>903xxxxx</t>
    <phoneticPr fontId="3" type="noConversion"/>
  </si>
  <si>
    <t>911xxxxx</t>
    <phoneticPr fontId="3" type="noConversion"/>
  </si>
  <si>
    <t>912xxxxx</t>
    <phoneticPr fontId="3" type="noConversion"/>
  </si>
  <si>
    <t>921xxxxx</t>
    <phoneticPr fontId="3" type="noConversion"/>
  </si>
  <si>
    <t>922xxxxx</t>
    <phoneticPr fontId="3" type="noConversion"/>
  </si>
  <si>
    <t>100xxxxx</t>
    <phoneticPr fontId="3" type="noConversion"/>
  </si>
  <si>
    <t>101xxxxx</t>
    <phoneticPr fontId="3" type="noConversion"/>
  </si>
  <si>
    <t>102xxxxx</t>
    <phoneticPr fontId="3" type="noConversion"/>
  </si>
  <si>
    <t>103xxxxx</t>
    <phoneticPr fontId="3" type="noConversion"/>
  </si>
  <si>
    <t>104xxxxx</t>
    <phoneticPr fontId="3" type="noConversion"/>
  </si>
  <si>
    <t>105xxxxx</t>
    <phoneticPr fontId="3" type="noConversion"/>
  </si>
  <si>
    <t>106xxxxx</t>
    <phoneticPr fontId="3" type="noConversion"/>
  </si>
  <si>
    <t>110xxxxx</t>
    <phoneticPr fontId="3" type="noConversion"/>
  </si>
  <si>
    <t>120xxxxx</t>
    <phoneticPr fontId="3" type="noConversion"/>
  </si>
  <si>
    <t>121xxxxx</t>
    <phoneticPr fontId="3" type="noConversion"/>
  </si>
  <si>
    <t>122xxxxx</t>
    <phoneticPr fontId="3" type="noConversion"/>
  </si>
  <si>
    <t>123xxxxx</t>
    <phoneticPr fontId="3" type="noConversion"/>
  </si>
  <si>
    <t>game_speed_settings</t>
    <phoneticPr fontId="3" type="noConversion"/>
  </si>
  <si>
    <t>intarray</t>
    <phoneticPr fontId="3" type="noConversion"/>
  </si>
  <si>
    <t>1,3,6</t>
    <phoneticPr fontId="3" type="noConversion"/>
  </si>
  <si>
    <t>游戏时间流速档位倍率</t>
    <phoneticPr fontId="3" type="noConversion"/>
  </si>
  <si>
    <t>GameSettings.speed</t>
    <phoneticPr fontId="3" type="noConversion"/>
  </si>
  <si>
    <t>正常</t>
    <phoneticPr fontId="3" type="noConversion"/>
  </si>
  <si>
    <t>快速</t>
    <phoneticPr fontId="3" type="noConversion"/>
  </si>
  <si>
    <t>超速</t>
    <phoneticPr fontId="3" type="noConversion"/>
  </si>
  <si>
    <t>desire_effect</t>
  </si>
  <si>
    <t>需求影响</t>
  </si>
  <si>
    <t>Loop</t>
    <phoneticPr fontId="3" type="noConversion"/>
  </si>
  <si>
    <t>Once</t>
    <phoneticPr fontId="3" type="noConversion"/>
  </si>
  <si>
    <t>base</t>
    <phoneticPr fontId="3" type="noConversion"/>
  </si>
  <si>
    <t>Stand</t>
    <phoneticPr fontId="3" type="noConversion"/>
  </si>
  <si>
    <t>Sit</t>
    <phoneticPr fontId="3" type="noConversion"/>
  </si>
  <si>
    <t>Walk</t>
    <phoneticPr fontId="3" type="noConversion"/>
  </si>
  <si>
    <t>Run</t>
    <phoneticPr fontId="3" type="noConversion"/>
  </si>
  <si>
    <t>Pick</t>
    <phoneticPr fontId="3" type="noConversion"/>
  </si>
  <si>
    <t>Carry</t>
    <phoneticPr fontId="3" type="noConversion"/>
  </si>
  <si>
    <t>Eat</t>
    <phoneticPr fontId="3" type="noConversion"/>
  </si>
  <si>
    <t>Sleep</t>
    <phoneticPr fontId="3" type="noConversion"/>
  </si>
  <si>
    <t>Pluck</t>
    <phoneticPr fontId="3" type="noConversion"/>
  </si>
  <si>
    <t>Hew</t>
    <phoneticPr fontId="3" type="noConversion"/>
  </si>
  <si>
    <t>Pickaxe</t>
    <phoneticPr fontId="3" type="noConversion"/>
  </si>
  <si>
    <t>Build</t>
    <phoneticPr fontId="3" type="noConversion"/>
  </si>
  <si>
    <t>work</t>
    <phoneticPr fontId="3" type="noConversion"/>
  </si>
  <si>
    <t>Search</t>
    <phoneticPr fontId="3" type="noConversion"/>
  </si>
  <si>
    <t>Patrol</t>
    <phoneticPr fontId="3" type="noConversion"/>
  </si>
  <si>
    <t>Arrest</t>
    <phoneticPr fontId="3" type="noConversion"/>
  </si>
  <si>
    <t>officer</t>
    <phoneticPr fontId="3" type="noConversion"/>
  </si>
  <si>
    <t>3,3</t>
    <phoneticPr fontId="3" type="noConversion"/>
  </si>
  <si>
    <t>5,3</t>
    <phoneticPr fontId="3" type="noConversion"/>
  </si>
  <si>
    <t>8,10</t>
    <phoneticPr fontId="3" type="noConversion"/>
  </si>
  <si>
    <t>2,2</t>
    <phoneticPr fontId="3" type="noConversion"/>
  </si>
  <si>
    <t>3,5</t>
    <phoneticPr fontId="3" type="noConversion"/>
  </si>
  <si>
    <t>8,5</t>
    <phoneticPr fontId="3" type="noConversion"/>
  </si>
  <si>
    <t>站立</t>
    <phoneticPr fontId="3" type="noConversion"/>
  </si>
  <si>
    <t>坐</t>
    <phoneticPr fontId="3" type="noConversion"/>
  </si>
  <si>
    <t>行走</t>
    <phoneticPr fontId="3" type="noConversion"/>
  </si>
  <si>
    <t>奔跑</t>
    <phoneticPr fontId="3" type="noConversion"/>
  </si>
  <si>
    <t>拾取</t>
    <phoneticPr fontId="3" type="noConversion"/>
  </si>
  <si>
    <t>搬运</t>
    <phoneticPr fontId="3" type="noConversion"/>
  </si>
  <si>
    <t>进食</t>
    <phoneticPr fontId="3" type="noConversion"/>
  </si>
  <si>
    <t>睡觉</t>
    <phoneticPr fontId="3" type="noConversion"/>
  </si>
  <si>
    <t>砍伐</t>
    <phoneticPr fontId="3" type="noConversion"/>
  </si>
  <si>
    <t>建造</t>
    <phoneticPr fontId="3" type="noConversion"/>
  </si>
  <si>
    <t>调查</t>
    <phoneticPr fontId="3" type="noConversion"/>
  </si>
  <si>
    <t>巡逻</t>
    <phoneticPr fontId="3" type="noConversion"/>
  </si>
  <si>
    <t>抓捕</t>
    <phoneticPr fontId="3" type="noConversion"/>
  </si>
  <si>
    <t>基础的站立动作，微微晃动</t>
    <phoneticPr fontId="3" type="noConversion"/>
  </si>
  <si>
    <t>坐在座椅上，微微晃动</t>
    <phoneticPr fontId="3" type="noConversion"/>
  </si>
  <si>
    <t>普通速度行走</t>
    <phoneticPr fontId="3" type="noConversion"/>
  </si>
  <si>
    <t>快速奔跑</t>
    <phoneticPr fontId="3" type="noConversion"/>
  </si>
  <si>
    <t>从地上拾取物品</t>
    <phoneticPr fontId="3" type="noConversion"/>
  </si>
  <si>
    <t>负重搬运，可以是搬、背或举</t>
    <phoneticPr fontId="3" type="noConversion"/>
  </si>
  <si>
    <t>坐在座位上进食</t>
    <phoneticPr fontId="3" type="noConversion"/>
  </si>
  <si>
    <t>躺在寝具上睡觉</t>
    <phoneticPr fontId="3" type="noConversion"/>
  </si>
  <si>
    <t>采摘植物果实或叶子</t>
    <phoneticPr fontId="3" type="noConversion"/>
  </si>
  <si>
    <t>砍伐植物</t>
    <phoneticPr fontId="3" type="noConversion"/>
  </si>
  <si>
    <t>挖掘</t>
    <phoneticPr fontId="3" type="noConversion"/>
  </si>
  <si>
    <t>用镐挖掘各类矿石，包括石头</t>
    <phoneticPr fontId="3" type="noConversion"/>
  </si>
  <si>
    <t>用大方锤敲打建造</t>
    <phoneticPr fontId="3" type="noConversion"/>
  </si>
  <si>
    <t>四处搜索进行调查，可以采用瞬移</t>
    <phoneticPr fontId="3" type="noConversion"/>
  </si>
  <si>
    <t>出街巡逻</t>
    <phoneticPr fontId="3" type="noConversion"/>
  </si>
  <si>
    <t>抓捕嫌犯</t>
    <phoneticPr fontId="3" type="noConversion"/>
  </si>
  <si>
    <t>array["desire:int","effect_val:int","limit_val:int"]</t>
  </si>
  <si>
    <t>角色进行该行为对需求的实时影响，+/-数值，以及影响极限值</t>
  </si>
  <si>
    <t>1,300;2,300;3,300;4,300</t>
    <phoneticPr fontId="3" type="noConversion"/>
  </si>
  <si>
    <t>1,500;2,500;3,500;4,500</t>
    <phoneticPr fontId="3" type="noConversion"/>
  </si>
  <si>
    <t>1,-2,0;2,-2,0;4,-2,200</t>
    <phoneticPr fontId="3" type="noConversion"/>
  </si>
  <si>
    <t>1,-1,0;2,-1,0;4,-2,200</t>
    <phoneticPr fontId="3" type="noConversion"/>
  </si>
  <si>
    <t>1,-3,0;2,-3,0;4,-1,200</t>
    <phoneticPr fontId="3" type="noConversion"/>
  </si>
  <si>
    <t>1,-5,0;2,-5,0;4,-1,200</t>
    <phoneticPr fontId="3" type="noConversion"/>
  </si>
  <si>
    <t>1,-2,0;2,-2,0;3,-1,200</t>
    <phoneticPr fontId="3" type="noConversion"/>
  </si>
  <si>
    <t>1,-5,0;2,-5,0;3,-3,200</t>
    <phoneticPr fontId="3" type="noConversion"/>
  </si>
  <si>
    <t>1,-3,0;2,-3,0;3,-1,100;4,1,300</t>
  </si>
  <si>
    <t>1,-5,0;2,-5,0;3,-3,100;4,1,300</t>
  </si>
  <si>
    <t>1,-3,0;2,-4,0;3,-2,100;4,2,500</t>
    <phoneticPr fontId="3" type="noConversion"/>
  </si>
  <si>
    <t>1,-4,0;2,-4,0;3,-1,100;4,2,500</t>
    <phoneticPr fontId="3" type="noConversion"/>
  </si>
  <si>
    <t>1,-4,0;2,-5,0;3,-3,100;4,2,500</t>
    <phoneticPr fontId="3" type="noConversion"/>
  </si>
  <si>
    <t>["item:int","cnt:int"]</t>
  </si>
  <si>
    <t>exp_gain</t>
  </si>
  <si>
    <t>经验获取</t>
  </si>
  <si>
    <t>array["item:int","cnt:int","interval_sec:int"]</t>
  </si>
  <si>
    <t>dict_enum</t>
    <phoneticPr fontId="3" type="noConversion"/>
  </si>
  <si>
    <t>txt</t>
  </si>
  <si>
    <t>txt</t>
    <phoneticPr fontId="3" type="noConversion"/>
  </si>
  <si>
    <t>short_txt</t>
    <phoneticPr fontId="3" type="noConversion"/>
  </si>
  <si>
    <t>extra_txt</t>
    <phoneticPr fontId="3" type="noConversion"/>
  </si>
  <si>
    <t>numerical_enum</t>
    <phoneticPr fontId="3" type="noConversion"/>
  </si>
  <si>
    <t>角色身份枚举，= RoleStatus.status_enum</t>
  </si>
  <si>
    <t>角色职业信息，包括角色拥有职业枚举 = RoleProf.prof_enum，及其初始等级 = RoleLevel.cur_level</t>
  </si>
  <si>
    <t>角色初始工作状态，= RoleJob.job_enum（0/空 = 无业）</t>
  </si>
  <si>
    <t>角色能力属性，包括角色能力枚举 = GameDict.dict_enum（GameDict.key = Role.ability），及其初始数值</t>
  </si>
  <si>
    <t>角色需求属性，包括角色需求枚举 = GameDict.dict_enum（GameDict.key = Role.desire），及其初始数值</t>
  </si>
  <si>
    <t>角色随机特征，= Tag.group,…（组间and组内or）</t>
  </si>
  <si>
    <t>status_enum</t>
  </si>
  <si>
    <t>prof_enum</t>
  </si>
  <si>
    <t>8位数字编号，104xxyyy，xx=RoleStatus.status_enum，yyy=纯流水</t>
  </si>
  <si>
    <t>job_enum</t>
  </si>
  <si>
    <t>8位数字编号，105xxyyy，xx=RoleProf.prof_enum，yyy=纯流水</t>
  </si>
  <si>
    <t>当前工作所属的角色职业枚举，= RoleProf.prof_enum，0/空=不属于任何职业</t>
  </si>
  <si>
    <t>角色进行该行为可获取的经验类型、数量及间隔（单位：秒，间隔0=按次结算）</t>
  </si>
  <si>
    <t>等级类型枚举，= GameDict.dict_enum（GameDict.key = RoleLevel.type）</t>
  </si>
  <si>
    <t>当前等级，各等级类型的最小配置等级即该类型等级初始值（0或1）</t>
  </si>
  <si>
    <t>weight</t>
  </si>
  <si>
    <t>随机权重</t>
  </si>
  <si>
    <t>物品储存模式枚举：0=角色，1=背包，2=场景</t>
  </si>
  <si>
    <t>button_txt</t>
  </si>
  <si>
    <t>array["button:string","txt:string"]</t>
  </si>
  <si>
    <t>RoleHappiness.overall</t>
    <phoneticPr fontId="3" type="noConversion"/>
  </si>
  <si>
    <t>总幸福度</t>
    <phoneticPr fontId="3" type="noConversion"/>
  </si>
  <si>
    <t>饥肠辘辘</t>
    <phoneticPr fontId="3" type="noConversion"/>
  </si>
  <si>
    <t>过度疲劳</t>
    <phoneticPr fontId="3" type="noConversion"/>
  </si>
  <si>
    <t>卫生堪忧</t>
    <phoneticPr fontId="3" type="noConversion"/>
  </si>
  <si>
    <t>无所事事</t>
    <phoneticPr fontId="3" type="noConversion"/>
  </si>
  <si>
    <t>["base:int","min:int","max:int","caution:int","collapse:int"]</t>
    <phoneticPr fontId="3" type="noConversion"/>
  </si>
  <si>
    <t>50,0,100,30,20</t>
    <phoneticPr fontId="3" type="noConversion"/>
  </si>
  <si>
    <t>role_happiness_settings</t>
    <phoneticPr fontId="3" type="noConversion"/>
  </si>
  <si>
    <t>角色幸福值设置：基础、最小、最大、警告、崩溃（离开或罢工）</t>
    <phoneticPr fontId="3" type="noConversion"/>
  </si>
  <si>
    <t>ZongXingFuDu</t>
    <phoneticPr fontId="3" type="noConversion"/>
  </si>
  <si>
    <t>RoleHappiness</t>
    <phoneticPr fontId="3" type="noConversion"/>
  </si>
  <si>
    <t>107xxxxx</t>
    <phoneticPr fontId="3" type="noConversion"/>
  </si>
  <si>
    <t>["fix_enum","fix_val:int","fix_limit:int"]</t>
  </si>
  <si>
    <t>desire_enum</t>
  </si>
  <si>
    <t>desire_bar</t>
  </si>
  <si>
    <t>tag</t>
  </si>
  <si>
    <t>overall_fix</t>
  </si>
  <si>
    <t>幸福编号</t>
  </si>
  <si>
    <t>需求枚举</t>
  </si>
  <si>
    <t>需求档位</t>
  </si>
  <si>
    <t>幸福标签</t>
  </si>
  <si>
    <t>总体影响</t>
  </si>
  <si>
    <t>8位数字编号，107xxyyy，xx=需求，yyy=纯流水</t>
  </si>
  <si>
    <t>角色幸福度关联需求枚举，= GameDict.dict_enum（GameDict.key = Role.desire）</t>
  </si>
  <si>
    <t>档位对应幸福度标签，= Tag.id（空=不赋标签）</t>
  </si>
  <si>
    <t>每一名该档位角色对总体幸福值的修正，及其最大修正值</t>
  </si>
  <si>
    <t>筋疲力尽</t>
    <phoneticPr fontId="3" type="noConversion"/>
  </si>
  <si>
    <t>污秽不堪</t>
    <phoneticPr fontId="3" type="noConversion"/>
  </si>
  <si>
    <t>人生无望</t>
    <phoneticPr fontId="3" type="noConversion"/>
  </si>
  <si>
    <t>饥饿难耐</t>
    <phoneticPr fontId="3" type="noConversion"/>
  </si>
  <si>
    <t>腹内空空</t>
    <phoneticPr fontId="3" type="noConversion"/>
  </si>
  <si>
    <t>有点疲劳</t>
    <phoneticPr fontId="3" type="noConversion"/>
  </si>
  <si>
    <t>龙精虎猛</t>
    <phoneticPr fontId="3" type="noConversion"/>
  </si>
  <si>
    <t>温饱无忧</t>
    <phoneticPr fontId="3" type="noConversion"/>
  </si>
  <si>
    <t>精力充足</t>
    <phoneticPr fontId="3" type="noConversion"/>
  </si>
  <si>
    <t>卫生</t>
    <phoneticPr fontId="3" type="noConversion"/>
  </si>
  <si>
    <t>要好好休息</t>
    <phoneticPr fontId="3" type="noConversion"/>
  </si>
  <si>
    <t>干净才体面</t>
    <phoneticPr fontId="3" type="noConversion"/>
  </si>
  <si>
    <t>精</t>
    <phoneticPr fontId="3" type="noConversion"/>
  </si>
  <si>
    <t>精神</t>
    <phoneticPr fontId="3" type="noConversion"/>
  </si>
  <si>
    <t>卫</t>
    <phoneticPr fontId="3" type="noConversion"/>
  </si>
  <si>
    <t>JingShen</t>
    <phoneticPr fontId="3" type="noConversion"/>
  </si>
  <si>
    <t>WeiSheng</t>
    <phoneticPr fontId="3" type="noConversion"/>
  </si>
  <si>
    <t>已经很久没有进食了</t>
    <phoneticPr fontId="3" type="noConversion"/>
  </si>
  <si>
    <t>已经到饭点了</t>
    <phoneticPr fontId="3" type="noConversion"/>
  </si>
  <si>
    <t>维持正常的食量</t>
    <phoneticPr fontId="3" type="noConversion"/>
  </si>
  <si>
    <t>酒足饭饱</t>
    <phoneticPr fontId="3" type="noConversion"/>
  </si>
  <si>
    <t>食物供应量大实惠</t>
    <phoneticPr fontId="3" type="noConversion"/>
  </si>
  <si>
    <t>一滴都不剩了……</t>
    <phoneticPr fontId="3" type="noConversion"/>
  </si>
  <si>
    <t>腰酸背痛腿抽筋</t>
    <phoneticPr fontId="3" type="noConversion"/>
  </si>
  <si>
    <t>可以再来三回合</t>
    <phoneticPr fontId="3" type="noConversion"/>
  </si>
  <si>
    <t>决战到天明</t>
    <phoneticPr fontId="3" type="noConversion"/>
  </si>
  <si>
    <t>你是什么垃圾</t>
    <phoneticPr fontId="3" type="noConversion"/>
  </si>
  <si>
    <t>蓬头垢面</t>
    <phoneticPr fontId="3" type="noConversion"/>
  </si>
  <si>
    <t>一看就是干苦力的</t>
    <phoneticPr fontId="3" type="noConversion"/>
  </si>
  <si>
    <t>干净清爽</t>
    <phoneticPr fontId="3" type="noConversion"/>
  </si>
  <si>
    <t>一尘不染</t>
    <phoneticPr fontId="3" type="noConversion"/>
  </si>
  <si>
    <t>命运多舛</t>
    <phoneticPr fontId="3" type="noConversion"/>
  </si>
  <si>
    <t>平步青云</t>
    <phoneticPr fontId="3" type="noConversion"/>
  </si>
  <si>
    <t>人生巅峰</t>
    <phoneticPr fontId="3" type="noConversion"/>
  </si>
  <si>
    <t>山清水绿，清清爽爽</t>
    <phoneticPr fontId="3" type="noConversion"/>
  </si>
  <si>
    <t>看着有点洁癖吧</t>
    <phoneticPr fontId="3" type="noConversion"/>
  </si>
  <si>
    <t>我差不多是个废人了</t>
    <phoneticPr fontId="3" type="noConversion"/>
  </si>
  <si>
    <t>干啥啥不行啊</t>
    <phoneticPr fontId="3" type="noConversion"/>
  </si>
  <si>
    <t>感觉人生要起飞</t>
    <phoneticPr fontId="3" type="noConversion"/>
  </si>
  <si>
    <t>在座各位都是垃圾</t>
    <phoneticPr fontId="3" type="noConversion"/>
  </si>
  <si>
    <t>1,-3,-5</t>
    <phoneticPr fontId="3" type="noConversion"/>
  </si>
  <si>
    <t>2,-3,-5</t>
    <phoneticPr fontId="3" type="noConversion"/>
  </si>
  <si>
    <t>3,-3,-5</t>
    <phoneticPr fontId="3" type="noConversion"/>
  </si>
  <si>
    <t>4,-3,-5</t>
    <phoneticPr fontId="3" type="noConversion"/>
  </si>
  <si>
    <t>additional</t>
  </si>
  <si>
    <t>additional</t>
    <phoneticPr fontId="3" type="noConversion"/>
  </si>
  <si>
    <t>附加属性</t>
  </si>
  <si>
    <t>附加属性</t>
    <phoneticPr fontId="3" type="noConversion"/>
  </si>
  <si>
    <t>array["grade:int","cnt:int"]</t>
  </si>
  <si>
    <t>matrix["house:int","level:int"]</t>
  </si>
  <si>
    <t>matrix["item:int","cnt:int"]</t>
  </si>
  <si>
    <t>array["level:int","house:intarray"]</t>
  </si>
  <si>
    <t>unlock_cnt</t>
  </si>
  <si>
    <t>pre_house</t>
  </si>
  <si>
    <t>cost</t>
  </si>
  <si>
    <t>job_list</t>
  </si>
  <si>
    <t>storage_list</t>
  </si>
  <si>
    <t>storage_capacity</t>
  </si>
  <si>
    <t>addon_list</t>
  </si>
  <si>
    <t>addon_max</t>
  </si>
  <si>
    <t>建筑编号</t>
  </si>
  <si>
    <t>建筑分类</t>
  </si>
  <si>
    <t>建筑签组</t>
  </si>
  <si>
    <t>建筑名称</t>
  </si>
  <si>
    <t>建筑描述</t>
  </si>
  <si>
    <t>解锁数量</t>
  </si>
  <si>
    <t>前置建筑</t>
  </si>
  <si>
    <t>岗位列表</t>
  </si>
  <si>
    <t>储存列表</t>
  </si>
  <si>
    <t>储存容量</t>
  </si>
  <si>
    <t>附加标签</t>
  </si>
  <si>
    <t>扩建插件</t>
  </si>
  <si>
    <t>扩建上限</t>
  </si>
  <si>
    <t>8位数字编号，311xxyyy，xxx=type，yyy=纯流水</t>
  </si>
  <si>
    <t>建筑关联资源ResName标识</t>
  </si>
  <si>
    <t>建筑名称文本，5个字符内</t>
  </si>
  <si>
    <t>建筑描述文本，20个字符内</t>
  </si>
  <si>
    <t>建筑解锁数量，包括玩家品阶grade条件，及解锁的数量cnt（叠加）</t>
  </si>
  <si>
    <t>建筑建造/升级需要满足的前置条件，包括建筑物= House.id，及其等级level</t>
  </si>
  <si>
    <t>建筑物可储存物品的总容量（不分具体物品，或分类数量）</t>
  </si>
  <si>
    <t>建筑物扩建插件列表，包括建筑物等级level，及对应解锁插件= House.id,…</t>
  </si>
  <si>
    <t>建筑物扩建插件数量上限，随建筑等级提升数量上限</t>
  </si>
  <si>
    <t>建筑物附加功能参数，扩展备用</t>
  </si>
  <si>
    <t>签事房</t>
    <phoneticPr fontId="3" type="noConversion"/>
  </si>
  <si>
    <t>内账房</t>
    <phoneticPr fontId="3" type="noConversion"/>
  </si>
  <si>
    <t>县衙</t>
    <phoneticPr fontId="3" type="noConversion"/>
  </si>
  <si>
    <t>民宅</t>
    <phoneticPr fontId="3" type="noConversion"/>
  </si>
  <si>
    <t>粮仓</t>
    <phoneticPr fontId="3" type="noConversion"/>
  </si>
  <si>
    <t>QianShiFang</t>
    <phoneticPr fontId="3" type="noConversion"/>
  </si>
  <si>
    <t>NeiZhangFang</t>
    <phoneticPr fontId="3" type="noConversion"/>
  </si>
  <si>
    <t>BuKuaiFang</t>
    <phoneticPr fontId="3" type="noConversion"/>
  </si>
  <si>
    <t>JianZhuFang</t>
    <phoneticPr fontId="3" type="noConversion"/>
  </si>
  <si>
    <t>MinZhai</t>
    <phoneticPr fontId="3" type="noConversion"/>
  </si>
  <si>
    <t>LiangCang</t>
    <phoneticPr fontId="3" type="noConversion"/>
  </si>
  <si>
    <t>House</t>
    <phoneticPr fontId="3" type="noConversion"/>
  </si>
  <si>
    <t>311xxxxx</t>
    <phoneticPr fontId="3" type="noConversion"/>
  </si>
  <si>
    <t>可进行当前工作的角色身份枚举，= RoleStatus.status_enum，99=任意身份</t>
    <phoneticPr fontId="3" type="noConversion"/>
  </si>
  <si>
    <t>RoleInfo.sex</t>
    <phoneticPr fontId="3" type="noConversion"/>
  </si>
  <si>
    <t>男</t>
    <phoneticPr fontId="3" type="noConversion"/>
  </si>
  <si>
    <t>女</t>
    <phoneticPr fontId="3" type="noConversion"/>
  </si>
  <si>
    <t>角色性别枚举，1 = 男，0 = 女</t>
    <phoneticPr fontId="3" type="noConversion"/>
  </si>
  <si>
    <t>NanXing</t>
    <phoneticPr fontId="3" type="noConversion"/>
  </si>
  <si>
    <t>NvXing</t>
    <phoneticPr fontId="3" type="noConversion"/>
  </si>
  <si>
    <t>男性</t>
    <phoneticPr fontId="3" type="noConversion"/>
  </si>
  <si>
    <t>女性</t>
    <phoneticPr fontId="3" type="noConversion"/>
  </si>
  <si>
    <t>House.type</t>
    <phoneticPr fontId="3" type="noConversion"/>
  </si>
  <si>
    <t>插件</t>
    <phoneticPr fontId="3" type="noConversion"/>
  </si>
  <si>
    <t>主阁</t>
    <phoneticPr fontId="3" type="noConversion"/>
  </si>
  <si>
    <t>生产</t>
    <phoneticPr fontId="3" type="noConversion"/>
  </si>
  <si>
    <t>需求</t>
    <phoneticPr fontId="3" type="noConversion"/>
  </si>
  <si>
    <t>政务</t>
    <phoneticPr fontId="3" type="noConversion"/>
  </si>
  <si>
    <t>暂停/恢复</t>
    <phoneticPr fontId="3" type="noConversion"/>
  </si>
  <si>
    <t>House.label</t>
    <phoneticPr fontId="3" type="noConversion"/>
  </si>
  <si>
    <t>ZhengWu</t>
    <phoneticPr fontId="3" type="noConversion"/>
  </si>
  <si>
    <t>ShengChan</t>
    <phoneticPr fontId="3" type="noConversion"/>
  </si>
  <si>
    <t>XuQiu</t>
    <phoneticPr fontId="3" type="noConversion"/>
  </si>
  <si>
    <t>ZhuangShi</t>
    <phoneticPr fontId="3" type="noConversion"/>
  </si>
  <si>
    <t>ZhuGe</t>
    <phoneticPr fontId="3" type="noConversion"/>
  </si>
  <si>
    <t>ChaJian</t>
    <phoneticPr fontId="3" type="noConversion"/>
  </si>
  <si>
    <t>11,2,5</t>
    <phoneticPr fontId="3" type="noConversion"/>
  </si>
  <si>
    <t>12,2,5</t>
    <phoneticPr fontId="3" type="noConversion"/>
  </si>
  <si>
    <t>13,2,5</t>
    <phoneticPr fontId="3" type="noConversion"/>
  </si>
  <si>
    <t>14,2,5</t>
    <phoneticPr fontId="3" type="noConversion"/>
  </si>
  <si>
    <t>食物丰富</t>
    <phoneticPr fontId="3" type="noConversion"/>
  </si>
  <si>
    <t>卫生模范</t>
    <phoneticPr fontId="3" type="noConversion"/>
  </si>
  <si>
    <t>精力充沛</t>
    <phoneticPr fontId="3" type="noConversion"/>
  </si>
  <si>
    <t>安居乐业</t>
    <phoneticPr fontId="3" type="noConversion"/>
  </si>
  <si>
    <t>array["effect:int","power:string"]</t>
  </si>
  <si>
    <t>tips</t>
  </si>
  <si>
    <t>effect_list</t>
  </si>
  <si>
    <t>clear_condition</t>
  </si>
  <si>
    <t>巴孚编号</t>
  </si>
  <si>
    <t>巴孚名称</t>
  </si>
  <si>
    <t>巴孚描述</t>
  </si>
  <si>
    <t>效果说明</t>
  </si>
  <si>
    <t>效果列表</t>
  </si>
  <si>
    <t>清除条件</t>
  </si>
  <si>
    <t>8位数字编号，122xxyyy，xx=来源(1标签2技能……)，yyy=纯流水</t>
  </si>
  <si>
    <t>Buff关联资源ResName标识</t>
  </si>
  <si>
    <t>Buff名称文本，5个字符内</t>
  </si>
  <si>
    <t>Buff包装性描述文本，20个字符内</t>
  </si>
  <si>
    <t>Buff数值性说明文本，20个字符内</t>
  </si>
  <si>
    <t>Buff包含的效果集，及其对应效果强度，= BuffEffect.id,power;…</t>
  </si>
  <si>
    <t>effect_type</t>
  </si>
  <si>
    <t>effect_condition</t>
  </si>
  <si>
    <t>effect_prob</t>
  </si>
  <si>
    <t>effect_mode</t>
  </si>
  <si>
    <t>效果编号</t>
  </si>
  <si>
    <t>效果类型</t>
  </si>
  <si>
    <t>生效条件</t>
  </si>
  <si>
    <t>生效几率</t>
  </si>
  <si>
    <t>生效模式</t>
  </si>
  <si>
    <t>8位数字编号，123xxyyy，xx=type，yyy=纯流水</t>
  </si>
  <si>
    <t>Buff效果关联资源ResName标识</t>
  </si>
  <si>
    <t>Buff效果满足起效条件前提下，实际生效几率，千分数</t>
  </si>
  <si>
    <t>Buff效果生效模式的字符串枚举：hold = 持续生效；flash = 瞬时生效（即生效一次后消除）</t>
  </si>
  <si>
    <t>五大三粗</t>
  </si>
  <si>
    <t>体格健壮，力量和耐力小幅提升</t>
  </si>
  <si>
    <t>弱不禁风</t>
  </si>
  <si>
    <t>身体孱弱，力量和食量较小</t>
  </si>
  <si>
    <t>男生女相</t>
  </si>
  <si>
    <t>明明是男，看着似女，安能辨我是雄雌</t>
  </si>
  <si>
    <t>孔武有力</t>
  </si>
  <si>
    <t>壮而有力，衣服随时有爆裂的风险</t>
  </si>
  <si>
    <t>急躁</t>
  </si>
  <si>
    <t>行事急躁，敏捷提升、技巧降低</t>
  </si>
  <si>
    <t>细致</t>
  </si>
  <si>
    <t>做事仔细，技巧提升、敏捷降低</t>
  </si>
  <si>
    <t>完美主义</t>
  </si>
  <si>
    <t>强迫症的美好称呼，就是龟毛得很</t>
  </si>
  <si>
    <t>体力充沛</t>
  </si>
  <si>
    <t>不知疲倦，耐力提升</t>
  </si>
  <si>
    <t>行动快速</t>
  </si>
  <si>
    <t>来去如风，工作速度提升</t>
  </si>
  <si>
    <t>武术世家</t>
  </si>
  <si>
    <t>黑道家庭出身，拳脚棍棒、石灰迷药样样精通</t>
  </si>
  <si>
    <t>大胃王</t>
  </si>
  <si>
    <t>就是吃得多，不好意思，老板</t>
  </si>
  <si>
    <t>爱偷懒</t>
  </si>
  <si>
    <t>喜欢带薪拉屎、带薪睡觉</t>
  </si>
  <si>
    <t>拈花惹草</t>
  </si>
  <si>
    <t>寡人之疾，就是喜欢在女人堆里</t>
  </si>
  <si>
    <t>打抱不平</t>
  </si>
  <si>
    <t>路见不平，就是有块石头突起来也要磨平它</t>
  </si>
  <si>
    <t>饥饿难耐</t>
  </si>
  <si>
    <t>已经很久没有进食了</t>
  </si>
  <si>
    <t>腹内空空</t>
  </si>
  <si>
    <t>已经到饭点了</t>
  </si>
  <si>
    <t>温饱无忧</t>
  </si>
  <si>
    <t>维持正常的食量</t>
  </si>
  <si>
    <t>酒足饭饱</t>
  </si>
  <si>
    <t>食物供应量大实惠</t>
  </si>
  <si>
    <t>筋疲力尽</t>
  </si>
  <si>
    <t>一滴都不剩了……</t>
  </si>
  <si>
    <t>有点疲劳</t>
  </si>
  <si>
    <t>腰酸背痛腿抽筋</t>
  </si>
  <si>
    <t>精力充足</t>
  </si>
  <si>
    <t>可以再来三回合</t>
  </si>
  <si>
    <t>龙精虎猛</t>
  </si>
  <si>
    <t>决战到天明</t>
  </si>
  <si>
    <t>污秽不堪</t>
  </si>
  <si>
    <t>你是什么垃圾</t>
  </si>
  <si>
    <t>蓬头垢面</t>
  </si>
  <si>
    <t>一看就是干苦力的</t>
  </si>
  <si>
    <t>干净清爽</t>
  </si>
  <si>
    <t>山清水绿，清清爽爽</t>
  </si>
  <si>
    <t>一尘不染</t>
  </si>
  <si>
    <t>看着有点洁癖吧</t>
  </si>
  <si>
    <t>人生无望</t>
  </si>
  <si>
    <t>我差不多是个废人了</t>
  </si>
  <si>
    <t>命运多舛</t>
  </si>
  <si>
    <t>干啥啥不行啊</t>
  </si>
  <si>
    <t>平步青云</t>
  </si>
  <si>
    <t>感觉人生要起飞</t>
  </si>
  <si>
    <t>人生巅峰</t>
  </si>
  <si>
    <t>在座各位都是垃圾</t>
  </si>
  <si>
    <t>力量+3 耐力+2</t>
    <phoneticPr fontId="3" type="noConversion"/>
  </si>
  <si>
    <t>武勇+3 精神下降速度-20%</t>
    <phoneticPr fontId="3" type="noConversion"/>
  </si>
  <si>
    <t>敏捷+2 技巧-2</t>
    <phoneticPr fontId="3" type="noConversion"/>
  </si>
  <si>
    <t>技巧+2 敏捷-1</t>
    <phoneticPr fontId="3" type="noConversion"/>
  </si>
  <si>
    <t>耐力+2 精神下降速度-20%</t>
    <phoneticPr fontId="3" type="noConversion"/>
  </si>
  <si>
    <t>武勇+3</t>
    <phoneticPr fontId="3" type="noConversion"/>
  </si>
  <si>
    <t>智力+3 魅力-1 政务评价+20%</t>
    <phoneticPr fontId="3" type="noConversion"/>
  </si>
  <si>
    <t>敏捷+2 工作用时-20%</t>
    <phoneticPr fontId="3" type="noConversion"/>
  </si>
  <si>
    <t>工作过程中休息放松几率+30</t>
    <phoneticPr fontId="3" type="noConversion"/>
  </si>
  <si>
    <t>女性好感度收益+30%</t>
    <phoneticPr fontId="3" type="noConversion"/>
  </si>
  <si>
    <t>巡逻政务中，随机事件几率+30%</t>
    <phoneticPr fontId="3" type="noConversion"/>
  </si>
  <si>
    <t>幸福度-3</t>
    <phoneticPr fontId="3" type="noConversion"/>
  </si>
  <si>
    <t>幸福度-8</t>
    <phoneticPr fontId="3" type="noConversion"/>
  </si>
  <si>
    <t>幸福度+3</t>
    <phoneticPr fontId="3" type="noConversion"/>
  </si>
  <si>
    <t>幸福度+8</t>
    <phoneticPr fontId="3" type="noConversion"/>
  </si>
  <si>
    <t>roleHappinessFix(power)</t>
    <phoneticPr fontId="3" type="noConversion"/>
  </si>
  <si>
    <t>roleAbilityFix(1,power)</t>
    <phoneticPr fontId="3" type="noConversion"/>
  </si>
  <si>
    <t>roleAbilityFix(2,power)</t>
  </si>
  <si>
    <t>roleAbilityFix(3,power)</t>
  </si>
  <si>
    <t>roleAbilityFix(4,power)</t>
  </si>
  <si>
    <t>roleAbilityFix(5,power)</t>
  </si>
  <si>
    <t>roleAbilityFix(6,power)</t>
  </si>
  <si>
    <t>roleAbilityFix(7,power)</t>
  </si>
  <si>
    <t>roleAbilityFix(8,power)</t>
  </si>
  <si>
    <t>roleDesireCostFix(1,power)</t>
    <phoneticPr fontId="3" type="noConversion"/>
  </si>
  <si>
    <t>roleDesireCostFix(2,power)</t>
  </si>
  <si>
    <t>roleDesireCostFix(3,power)</t>
  </si>
  <si>
    <t>roleDesireCostFix(4,power)</t>
  </si>
  <si>
    <t>roleAbilityFix(0,power)</t>
    <phoneticPr fontId="3" type="noConversion"/>
  </si>
  <si>
    <t>roleDesireCostFix(0,power)</t>
    <phoneticPr fontId="3" type="noConversion"/>
  </si>
  <si>
    <t>workTaskScoreFix(0,power)</t>
    <phoneticPr fontId="3" type="noConversion"/>
  </si>
  <si>
    <t>goodImpressionFix(Female,power)</t>
    <phoneticPr fontId="3" type="noConversion"/>
  </si>
  <si>
    <t>hold</t>
    <phoneticPr fontId="3" type="noConversion"/>
  </si>
  <si>
    <t>totalHappinessFix(power)</t>
    <phoneticPr fontId="3" type="noConversion"/>
  </si>
  <si>
    <t>patrolEventProbFix(power)</t>
    <phoneticPr fontId="3" type="noConversion"/>
  </si>
  <si>
    <t>角色能力修正，0=全部</t>
    <phoneticPr fontId="3" type="noConversion"/>
  </si>
  <si>
    <t>角色能力修正，1=力量</t>
  </si>
  <si>
    <t>角色能力修正，2=敏捷</t>
  </si>
  <si>
    <t>角色能力修正，3=技巧</t>
  </si>
  <si>
    <t>角色能力修正，4=耐力</t>
  </si>
  <si>
    <t>角色能力修正，5=统率</t>
  </si>
  <si>
    <t>角色能力修正，6=武勇</t>
  </si>
  <si>
    <t>角色能力修正，7=智力</t>
  </si>
  <si>
    <t>角色能力修正，8=魅力</t>
  </si>
  <si>
    <t>角色需求消耗速度修正，1=食物</t>
  </si>
  <si>
    <t>角色需求消耗速度修正，2=精神</t>
  </si>
  <si>
    <t>角色需求消耗速度修正，3=卫生</t>
  </si>
  <si>
    <t>角色需求消耗速度修正，4=职业</t>
  </si>
  <si>
    <t>角色需求消耗速度修正，0=全部</t>
    <phoneticPr fontId="3" type="noConversion"/>
  </si>
  <si>
    <t>工作坊掉落间隔修正，0=全部</t>
    <phoneticPr fontId="3" type="noConversion"/>
  </si>
  <si>
    <t>AI行动权重修正</t>
    <phoneticPr fontId="3" type="noConversion"/>
  </si>
  <si>
    <t>总幸福度修正</t>
    <phoneticPr fontId="3" type="noConversion"/>
  </si>
  <si>
    <t>角色幸福度修正</t>
    <phoneticPr fontId="3" type="noConversion"/>
  </si>
  <si>
    <t>12301001,3;12301004,2</t>
    <phoneticPr fontId="3" type="noConversion"/>
  </si>
  <si>
    <t>12301002,2;12301003,-2</t>
    <phoneticPr fontId="3" type="noConversion"/>
  </si>
  <si>
    <t>12301002,-1;12301003,2</t>
    <phoneticPr fontId="3" type="noConversion"/>
  </si>
  <si>
    <t>12301006,3</t>
    <phoneticPr fontId="3" type="noConversion"/>
  </si>
  <si>
    <t>角色需求档位（bar是浮标概念，即一档的上限），比例值，千分数</t>
  </si>
  <si>
    <t>originExist(FALSE)</t>
    <phoneticPr fontId="3" type="noConversion"/>
  </si>
  <si>
    <t>occur(TRUE)</t>
    <phoneticPr fontId="3" type="noConversion"/>
  </si>
  <si>
    <t>Buff效果标识名，及其效果参数，= effectName(param,…)</t>
    <phoneticPr fontId="3" type="noConversion"/>
  </si>
  <si>
    <t>Buff效果起效的条件集，及其对应条件参数，= conditionName(param,…);…，多项条件and关系</t>
    <phoneticPr fontId="3" type="noConversion"/>
  </si>
  <si>
    <t>Buff清楚条件集，及其对应条件参数，= conditionName(param,…);…，多项条件or关系</t>
    <phoneticPr fontId="3" type="noConversion"/>
  </si>
  <si>
    <t>Formula</t>
    <phoneticPr fontId="3" type="noConversion"/>
  </si>
  <si>
    <t>201xxxxx</t>
    <phoneticPr fontId="3" type="noConversion"/>
  </si>
  <si>
    <t>202xxxxx</t>
    <phoneticPr fontId="3" type="noConversion"/>
  </si>
  <si>
    <t>203xxxxx</t>
    <phoneticPr fontId="3" type="noConversion"/>
  </si>
  <si>
    <t>20100011,1,0</t>
  </si>
  <si>
    <t>20100012,1,0</t>
  </si>
  <si>
    <t>20100014,1,0</t>
  </si>
  <si>
    <t>20100015,1,0</t>
  </si>
  <si>
    <t>20100016,2,3;20100023,2,3</t>
  </si>
  <si>
    <t>20100016,1,5;20100023,1,5</t>
  </si>
  <si>
    <t>20100016,10,0;20100023,10,0</t>
  </si>
  <si>
    <t>20101001,50</t>
  </si>
  <si>
    <t>20101001,20</t>
  </si>
  <si>
    <t>20101001,100</t>
    <phoneticPr fontId="3" type="noConversion"/>
  </si>
  <si>
    <t>20101001,300</t>
    <phoneticPr fontId="3" type="noConversion"/>
  </si>
  <si>
    <t>20101001,200</t>
    <phoneticPr fontId="3" type="noConversion"/>
  </si>
  <si>
    <t>20101001,50</t>
    <phoneticPr fontId="3" type="noConversion"/>
  </si>
  <si>
    <t>20102001,100,1000</t>
    <phoneticPr fontId="3" type="noConversion"/>
  </si>
  <si>
    <t>20102002,100,1000</t>
    <phoneticPr fontId="3" type="noConversion"/>
  </si>
  <si>
    <t>20102002,1,500;20102003,1,1000</t>
    <phoneticPr fontId="3" type="noConversion"/>
  </si>
  <si>
    <t>20102002,1,800;20201005,1,200</t>
    <phoneticPr fontId="3" type="noConversion"/>
  </si>
  <si>
    <t>20102001,1,900;20102001,2,100</t>
    <phoneticPr fontId="3" type="noConversion"/>
  </si>
  <si>
    <t>20102001,100,100;20102002,100,100;20102003,100,100</t>
    <phoneticPr fontId="3" type="noConversion"/>
  </si>
  <si>
    <t>20103001,100,100;20103002,100,100;20103003,100,100</t>
    <phoneticPr fontId="3" type="noConversion"/>
  </si>
  <si>
    <t>0,1000</t>
    <phoneticPr fontId="3" type="noConversion"/>
  </si>
  <si>
    <t>1,0,199;2,200,599;3,600,1000</t>
    <phoneticPr fontId="3" type="noConversion"/>
  </si>
  <si>
    <t>["min:int","max:int"]</t>
    <phoneticPr fontId="3" type="noConversion"/>
  </si>
  <si>
    <t>array["bar_enum:int","min:int","max:int"]</t>
    <phoneticPr fontId="3" type="noConversion"/>
  </si>
  <si>
    <t>item_freshness_range</t>
    <phoneticPr fontId="3" type="noConversion"/>
  </si>
  <si>
    <t>item_freshness_bar</t>
    <phoneticPr fontId="3" type="noConversion"/>
  </si>
  <si>
    <t>物品新鲜度范围：最小、最大值</t>
    <phoneticPr fontId="3" type="noConversion"/>
  </si>
  <si>
    <t>物品新鲜度分档：档枚举、档下限、档上限</t>
    <phoneticPr fontId="3" type="noConversion"/>
  </si>
  <si>
    <t>腐烂</t>
    <phoneticPr fontId="3" type="noConversion"/>
  </si>
  <si>
    <t>普通</t>
    <phoneticPr fontId="3" type="noConversion"/>
  </si>
  <si>
    <t>新鲜</t>
    <phoneticPr fontId="3" type="noConversion"/>
  </si>
  <si>
    <t>腐烂的食品，食用将影响健康，要尽快清理。</t>
    <phoneticPr fontId="3" type="noConversion"/>
  </si>
  <si>
    <t>不是最新鲜，但还可以正常食用的食品。</t>
    <phoneticPr fontId="3" type="noConversion"/>
  </si>
  <si>
    <t>新鲜的食品，食用效果非常好。</t>
    <phoneticPr fontId="3" type="noConversion"/>
  </si>
  <si>
    <t>FuLan</t>
    <phoneticPr fontId="3" type="noConversion"/>
  </si>
  <si>
    <t>PuTong</t>
    <phoneticPr fontId="3" type="noConversion"/>
  </si>
  <si>
    <t>XinXian</t>
    <phoneticPr fontId="3" type="noConversion"/>
  </si>
  <si>
    <t>role_ai_sleep_awake_settings</t>
    <phoneticPr fontId="3" type="noConversion"/>
  </si>
  <si>
    <t>role_ai_standby_interval_sec</t>
    <phoneticPr fontId="3" type="noConversion"/>
  </si>
  <si>
    <t>role_ai_roamwalk_distance_range</t>
    <phoneticPr fontId="3" type="noConversion"/>
  </si>
  <si>
    <t>["min:int","max:int","duration:int"]</t>
    <phoneticPr fontId="3" type="noConversion"/>
  </si>
  <si>
    <t>角色AI睡觉自然醒设置：精神最小/大值、睡觉时长，单位：秒sec</t>
    <phoneticPr fontId="3" type="noConversion"/>
  </si>
  <si>
    <t>角色AI发呆时长范围：最小、最大，单位：秒sec</t>
    <phoneticPr fontId="3" type="noConversion"/>
  </si>
  <si>
    <t>角色AI漫游距离范围：最小、最大（一次移动的范围）</t>
    <phoneticPr fontId="3" type="noConversion"/>
  </si>
  <si>
    <t>100,500,600</t>
    <phoneticPr fontId="3" type="noConversion"/>
  </si>
  <si>
    <t>3,5</t>
    <phoneticPr fontId="3" type="noConversion"/>
  </si>
  <si>
    <t>10,30</t>
    <phoneticPr fontId="3" type="noConversion"/>
  </si>
  <si>
    <t>house_building_point_max</t>
    <phoneticPr fontId="3" type="noConversion"/>
  </si>
  <si>
    <t>3</t>
    <phoneticPr fontId="3" type="noConversion"/>
  </si>
  <si>
    <t>int</t>
    <phoneticPr fontId="3" type="noConversion"/>
  </si>
  <si>
    <t>house_build_step</t>
    <phoneticPr fontId="3" type="noConversion"/>
  </si>
  <si>
    <t>整地</t>
    <phoneticPr fontId="3" type="noConversion"/>
  </si>
  <si>
    <t>备材</t>
    <phoneticPr fontId="3" type="noConversion"/>
  </si>
  <si>
    <t>建造</t>
    <phoneticPr fontId="3" type="noConversion"/>
  </si>
  <si>
    <t>ZhengDi</t>
    <phoneticPr fontId="3" type="noConversion"/>
  </si>
  <si>
    <t>BeiCai</t>
    <phoneticPr fontId="3" type="noConversion"/>
  </si>
  <si>
    <t>JianZao</t>
    <phoneticPr fontId="3" type="noConversion"/>
  </si>
  <si>
    <t>array["ability:int","coe:int"]</t>
  </si>
  <si>
    <t>ability_coe</t>
  </si>
  <si>
    <t>能力系数</t>
  </si>
  <si>
    <t>从事当前工作，计算工作能力(战力)的加权求和系数，千分数</t>
  </si>
  <si>
    <t>从事当前工作角色的AI行动方式，= AiBuild.name（NodeCanvas中定义）</t>
  </si>
  <si>
    <t>当前等级附加给角色的特性标签，= Tag.id,…</t>
  </si>
  <si>
    <t>stack_cnt</t>
  </si>
  <si>
    <t>堆叠数量</t>
  </si>
  <si>
    <t>物品堆放存储容量，即【背包】单格容量、【场景】户外单组容量</t>
  </si>
  <si>
    <t>decay_interval_sec</t>
  </si>
  <si>
    <t>腐坏间隔</t>
  </si>
  <si>
    <t>物品默认腐坏速度，即每降低1点新鲜度所需时间，单位：秒sec，（0/空=不会腐坏）</t>
  </si>
  <si>
    <t>物品附带功能的拓展参数，如：type=3/4，食物价值；type=6/7，Drop.id；type=8，Tag/Buff.id；type=9，House.id；……</t>
  </si>
  <si>
    <t>物品获取方式，拓展备用：type=1，id=ScenePart.id；type=2，id=Formula.id；……</t>
  </si>
  <si>
    <t>20101001,100000;20101003,1</t>
    <phoneticPr fontId="3" type="noConversion"/>
  </si>
  <si>
    <t>20101001,10000</t>
    <phoneticPr fontId="3" type="noConversion"/>
  </si>
  <si>
    <t>20101001,20000</t>
    <phoneticPr fontId="3" type="noConversion"/>
  </si>
  <si>
    <t>20101001,500000,1000;20202001,1,1000</t>
    <phoneticPr fontId="3" type="noConversion"/>
  </si>
  <si>
    <t>20101001,500000,1000;20202002,1,1000</t>
    <phoneticPr fontId="3" type="noConversion"/>
  </si>
  <si>
    <t>银两500+木石铁其一100</t>
    <phoneticPr fontId="3" type="noConversion"/>
  </si>
  <si>
    <t>银两500+粮果肉其一100</t>
    <phoneticPr fontId="3" type="noConversion"/>
  </si>
  <si>
    <t>array["drop:int","weight:int"]</t>
  </si>
  <si>
    <t>array["id:int","cnt:int"]</t>
  </si>
  <si>
    <t>target_item</t>
  </si>
  <si>
    <t>output_drop</t>
  </si>
  <si>
    <t>input_item</t>
  </si>
  <si>
    <t>output_interval_sec</t>
  </si>
  <si>
    <t>配方编号</t>
  </si>
  <si>
    <t>配方类型</t>
  </si>
  <si>
    <t>配方名称</t>
  </si>
  <si>
    <t>配方描述</t>
  </si>
  <si>
    <t>目标物品</t>
  </si>
  <si>
    <t>产出掉落</t>
  </si>
  <si>
    <t>原料物品</t>
  </si>
  <si>
    <t>产出间隔</t>
  </si>
  <si>
    <t>配方关联资源ResName标识，默认使用target_item资源</t>
  </si>
  <si>
    <t>配方类型枚举，拓展备用</t>
  </si>
  <si>
    <t>配方名称文本，5个字符内，默认使用target_item名称</t>
  </si>
  <si>
    <t>配方名称描述，20个字符内，默认使用target_item描述</t>
  </si>
  <si>
    <t>配方产出物品标识，= Item.id，仅作标识使用</t>
  </si>
  <si>
    <t>配方产出分档掉落及权重，目前分为Good/Great两档</t>
  </si>
  <si>
    <t>配方所需原料，包括物品编号及数量，可以有多项原料</t>
  </si>
  <si>
    <t>配方产出间隔，即制作时间，单位：秒s</t>
  </si>
  <si>
    <t>8位数字编号，203xxyyy，xx=type，yyy=纯流水</t>
    <phoneticPr fontId="3" type="noConversion"/>
  </si>
  <si>
    <t>["type:int","radius:intarray"]</t>
  </si>
  <si>
    <t>array["type:string","target_list:intarray"]</t>
  </si>
  <si>
    <t>array["type:int","max:intarray"]</t>
  </si>
  <si>
    <t>target_range</t>
  </si>
  <si>
    <t>target_enable</t>
  </si>
  <si>
    <t>decay_interval_fix</t>
  </si>
  <si>
    <t>task_list</t>
  </si>
  <si>
    <t>建筑耐久</t>
  </si>
  <si>
    <t>目标范围</t>
  </si>
  <si>
    <t>目标筛选</t>
  </si>
  <si>
    <t>标签列表</t>
  </si>
  <si>
    <t>任务列表</t>
  </si>
  <si>
    <t>建筑显示分组，对应界面页签：0=隐藏，1=政务，2=需求，3=资源，4=生产，5=商业，6=规划</t>
  </si>
  <si>
    <t>建筑物耐久值，用于计算建造进度（未来可扩展建筑受破坏耐久）</t>
  </si>
  <si>
    <t>建筑物内工作目标有效范围，type范围类型：0=笔刷区域圆形范围，1=建筑周边圆形范围，2=建筑周边正方形范围；radius范围半径（正方形内切圆半径）</t>
  </si>
  <si>
    <t>建筑物可储存的物品清单，= Item.type,…;…（按等级叠加）</t>
  </si>
  <si>
    <t>建筑物对储存物品腐坏间隔时间的修正值，千分数增比</t>
  </si>
  <si>
    <t>建筑附带的标签类表，= Tag.id,…;…</t>
  </si>
  <si>
    <t>建筑内可用任务类型及容量</t>
  </si>
  <si>
    <t>腐坏修正</t>
    <phoneticPr fontId="3" type="noConversion"/>
  </si>
  <si>
    <t>库房</t>
    <phoneticPr fontId="3" type="noConversion"/>
  </si>
  <si>
    <t>KuFang</t>
    <phoneticPr fontId="3" type="noConversion"/>
  </si>
  <si>
    <t>狩猎小屋</t>
    <phoneticPr fontId="3" type="noConversion"/>
  </si>
  <si>
    <t>农场</t>
    <phoneticPr fontId="3" type="noConversion"/>
  </si>
  <si>
    <t>牧场</t>
    <phoneticPr fontId="3" type="noConversion"/>
  </si>
  <si>
    <t>鱼塘</t>
    <phoneticPr fontId="3" type="noConversion"/>
  </si>
  <si>
    <t>磨坊</t>
    <phoneticPr fontId="3" type="noConversion"/>
  </si>
  <si>
    <t>织坊</t>
    <phoneticPr fontId="3" type="noConversion"/>
  </si>
  <si>
    <t>木匠铺</t>
    <phoneticPr fontId="3" type="noConversion"/>
  </si>
  <si>
    <t>石匠铺</t>
    <phoneticPr fontId="3" type="noConversion"/>
  </si>
  <si>
    <t>铁匠铺</t>
    <phoneticPr fontId="3" type="noConversion"/>
  </si>
  <si>
    <t>裁缝铺</t>
    <phoneticPr fontId="3" type="noConversion"/>
  </si>
  <si>
    <t>食肆</t>
    <phoneticPr fontId="3" type="noConversion"/>
  </si>
  <si>
    <t>酒肆</t>
    <phoneticPr fontId="3" type="noConversion"/>
  </si>
  <si>
    <t>杂货铺</t>
    <phoneticPr fontId="3" type="noConversion"/>
  </si>
  <si>
    <t>水井</t>
    <phoneticPr fontId="3" type="noConversion"/>
  </si>
  <si>
    <t>碎石路</t>
    <phoneticPr fontId="3" type="noConversion"/>
  </si>
  <si>
    <t>石板路</t>
    <phoneticPr fontId="3" type="noConversion"/>
  </si>
  <si>
    <t>佛像</t>
    <phoneticPr fontId="3" type="noConversion"/>
  </si>
  <si>
    <t>牌楼</t>
    <phoneticPr fontId="3" type="noConversion"/>
  </si>
  <si>
    <t>ShuiJing</t>
    <phoneticPr fontId="3" type="noConversion"/>
  </si>
  <si>
    <t>JiuLou</t>
    <phoneticPr fontId="3" type="noConversion"/>
  </si>
  <si>
    <t>CaiJiGongFang</t>
    <phoneticPr fontId="3" type="noConversion"/>
  </si>
  <si>
    <t>FaMuGongFang</t>
    <phoneticPr fontId="3" type="noConversion"/>
  </si>
  <si>
    <t>CaiShiGongFang</t>
    <phoneticPr fontId="3" type="noConversion"/>
  </si>
  <si>
    <t>CaiKuangGongChang</t>
    <phoneticPr fontId="3" type="noConversion"/>
  </si>
  <si>
    <t>ShouLieXiaoWu</t>
    <phoneticPr fontId="3" type="noConversion"/>
  </si>
  <si>
    <t>NongChang</t>
    <phoneticPr fontId="3" type="noConversion"/>
  </si>
  <si>
    <t>MuChang</t>
    <phoneticPr fontId="3" type="noConversion"/>
  </si>
  <si>
    <t>YuTang</t>
    <phoneticPr fontId="3" type="noConversion"/>
  </si>
  <si>
    <t>MoFang</t>
    <phoneticPr fontId="3" type="noConversion"/>
  </si>
  <si>
    <t>ZhiFang</t>
    <phoneticPr fontId="3" type="noConversion"/>
  </si>
  <si>
    <t>MuJiangPu</t>
    <phoneticPr fontId="3" type="noConversion"/>
  </si>
  <si>
    <t>ShiJiangPu</t>
    <phoneticPr fontId="3" type="noConversion"/>
  </si>
  <si>
    <t>TieJiangPu</t>
    <phoneticPr fontId="3" type="noConversion"/>
  </si>
  <si>
    <t>CaiFengPu</t>
    <phoneticPr fontId="3" type="noConversion"/>
  </si>
  <si>
    <t>ShiSi</t>
    <phoneticPr fontId="3" type="noConversion"/>
  </si>
  <si>
    <t>JiuSi</t>
    <phoneticPr fontId="3" type="noConversion"/>
  </si>
  <si>
    <t>ZaHuoPu</t>
    <phoneticPr fontId="3" type="noConversion"/>
  </si>
  <si>
    <t>PaiLou</t>
    <phoneticPr fontId="3" type="noConversion"/>
  </si>
  <si>
    <t>FoXiang</t>
    <phoneticPr fontId="3" type="noConversion"/>
  </si>
  <si>
    <t>SuiShiLu</t>
    <phoneticPr fontId="3" type="noConversion"/>
  </si>
  <si>
    <t>ShiBanLu</t>
    <phoneticPr fontId="3" type="noConversion"/>
  </si>
  <si>
    <t>货栈</t>
    <phoneticPr fontId="3" type="noConversion"/>
  </si>
  <si>
    <t>HuoZhan</t>
    <phoneticPr fontId="3" type="noConversion"/>
  </si>
  <si>
    <t>仓储</t>
    <phoneticPr fontId="3" type="noConversion"/>
  </si>
  <si>
    <t>住宅</t>
    <phoneticPr fontId="3" type="noConversion"/>
  </si>
  <si>
    <t>产销</t>
    <phoneticPr fontId="3" type="noConversion"/>
  </si>
  <si>
    <t>资源</t>
    <phoneticPr fontId="3" type="noConversion"/>
  </si>
  <si>
    <t>农牧</t>
    <phoneticPr fontId="3" type="noConversion"/>
  </si>
  <si>
    <t>生产</t>
    <phoneticPr fontId="3" type="noConversion"/>
  </si>
  <si>
    <t>销售</t>
    <phoneticPr fontId="3" type="noConversion"/>
  </si>
  <si>
    <t>装饰</t>
    <phoneticPr fontId="3" type="noConversion"/>
  </si>
  <si>
    <t>道路</t>
    <phoneticPr fontId="3" type="noConversion"/>
  </si>
  <si>
    <t>隐藏</t>
    <phoneticPr fontId="3" type="noConversion"/>
  </si>
  <si>
    <t>商业</t>
    <phoneticPr fontId="3" type="noConversion"/>
  </si>
  <si>
    <t>规划</t>
    <phoneticPr fontId="3" type="noConversion"/>
  </si>
  <si>
    <t>CangChu</t>
    <phoneticPr fontId="3" type="noConversion"/>
  </si>
  <si>
    <t>ZhuZhai</t>
    <phoneticPr fontId="3" type="noConversion"/>
  </si>
  <si>
    <t>ChanXiao</t>
    <phoneticPr fontId="3" type="noConversion"/>
  </si>
  <si>
    <t>ZiYuan</t>
    <phoneticPr fontId="3" type="noConversion"/>
  </si>
  <si>
    <t>NongMu</t>
    <phoneticPr fontId="3" type="noConversion"/>
  </si>
  <si>
    <t>ShengChan</t>
    <phoneticPr fontId="3" type="noConversion"/>
  </si>
  <si>
    <t>XiaoShou</t>
    <phoneticPr fontId="3" type="noConversion"/>
  </si>
  <si>
    <t>DaoLu</t>
    <phoneticPr fontId="3" type="noConversion"/>
  </si>
  <si>
    <t>ShangYe</t>
    <phoneticPr fontId="3" type="noConversion"/>
  </si>
  <si>
    <t>GuiHua</t>
    <phoneticPr fontId="3" type="noConversion"/>
  </si>
  <si>
    <t>Formula.type</t>
    <phoneticPr fontId="3" type="noConversion"/>
  </si>
  <si>
    <t>食物配方</t>
    <phoneticPr fontId="3" type="noConversion"/>
  </si>
  <si>
    <t>待定</t>
    <phoneticPr fontId="3" type="noConversion"/>
  </si>
  <si>
    <t>ShiWuPeiFang</t>
    <phoneticPr fontId="3" type="noConversion"/>
  </si>
  <si>
    <t>item_money_show_rate</t>
    <phoneticPr fontId="3" type="noConversion"/>
  </si>
  <si>
    <t>["id:int","show_rate:intarray"]</t>
    <phoneticPr fontId="3" type="noConversion"/>
  </si>
  <si>
    <t>基础钱币显示比率：钱币编号、各档比率</t>
    <phoneticPr fontId="3" type="noConversion"/>
  </si>
  <si>
    <t>20101001;1,1000,10000000</t>
    <phoneticPr fontId="3" type="noConversion"/>
  </si>
  <si>
    <t>item_money_show</t>
    <phoneticPr fontId="3" type="noConversion"/>
  </si>
  <si>
    <t>文</t>
    <phoneticPr fontId="3" type="noConversion"/>
  </si>
  <si>
    <t>两</t>
    <phoneticPr fontId="3" type="noConversion"/>
  </si>
  <si>
    <t>萬两</t>
    <phoneticPr fontId="3" type="noConversion"/>
  </si>
  <si>
    <t>Item.label</t>
    <phoneticPr fontId="3" type="noConversion"/>
  </si>
  <si>
    <t>食物</t>
    <phoneticPr fontId="3" type="noConversion"/>
  </si>
  <si>
    <t>木材</t>
    <phoneticPr fontId="3" type="noConversion"/>
  </si>
  <si>
    <t>石料</t>
    <phoneticPr fontId="3" type="noConversion"/>
  </si>
  <si>
    <t>铁矿</t>
    <phoneticPr fontId="3" type="noConversion"/>
  </si>
  <si>
    <t>米</t>
    <phoneticPr fontId="3" type="noConversion"/>
  </si>
  <si>
    <t>木</t>
    <phoneticPr fontId="3" type="noConversion"/>
  </si>
  <si>
    <t>石</t>
    <phoneticPr fontId="3" type="noConversion"/>
  </si>
  <si>
    <t>铁</t>
    <phoneticPr fontId="3" type="noConversion"/>
  </si>
  <si>
    <t>ShiWu</t>
    <phoneticPr fontId="3" type="noConversion"/>
  </si>
  <si>
    <t>MuCai</t>
    <phoneticPr fontId="3" type="noConversion"/>
  </si>
  <si>
    <t>ShiLiao</t>
    <phoneticPr fontId="3" type="noConversion"/>
  </si>
  <si>
    <t>TieKuang</t>
    <phoneticPr fontId="3" type="noConversion"/>
  </si>
  <si>
    <t>治下居民可以食用的食物总称</t>
    <phoneticPr fontId="3" type="noConversion"/>
  </si>
  <si>
    <t>砍伐获得的基础资源</t>
    <phoneticPr fontId="3" type="noConversion"/>
  </si>
  <si>
    <t>采石获得的基础资源</t>
    <phoneticPr fontId="3" type="noConversion"/>
  </si>
  <si>
    <t>挖掘获得的基础资源</t>
    <phoneticPr fontId="3" type="noConversion"/>
  </si>
  <si>
    <t>人口</t>
    <phoneticPr fontId="3" type="noConversion"/>
  </si>
  <si>
    <t>Hud.population</t>
    <phoneticPr fontId="3" type="noConversion"/>
  </si>
  <si>
    <t>目前治下所有居民总数</t>
    <phoneticPr fontId="3" type="noConversion"/>
  </si>
  <si>
    <t>RenKou</t>
    <phoneticPr fontId="3" type="noConversion"/>
  </si>
  <si>
    <t>TongBan</t>
    <phoneticPr fontId="3" type="noConversion"/>
  </si>
  <si>
    <t>YinLiang</t>
    <phoneticPr fontId="3" type="noConversion"/>
  </si>
  <si>
    <t>一个铜板</t>
    <phoneticPr fontId="3" type="noConversion"/>
  </si>
  <si>
    <t>一贯铜钱可换一两纹银</t>
    <phoneticPr fontId="3" type="noConversion"/>
  </si>
  <si>
    <t>万两雪花白银</t>
    <phoneticPr fontId="3" type="noConversion"/>
  </si>
  <si>
    <t>建筑建造最大工位数，适用于House.type = 1～9（其他默认为1）</t>
    <phoneticPr fontId="3" type="noConversion"/>
  </si>
  <si>
    <t>丁</t>
    <phoneticPr fontId="3" type="noConversion"/>
  </si>
  <si>
    <t>杂菜汤</t>
  </si>
  <si>
    <t>杂菜汤</t>
    <phoneticPr fontId="3" type="noConversion"/>
  </si>
  <si>
    <t>胡饼</t>
  </si>
  <si>
    <t>胡饼</t>
    <phoneticPr fontId="3" type="noConversion"/>
  </si>
  <si>
    <t>肉羹</t>
  </si>
  <si>
    <t>肉羹</t>
    <phoneticPr fontId="3" type="noConversion"/>
  </si>
  <si>
    <t>炙肉</t>
  </si>
  <si>
    <t>炙肉</t>
    <phoneticPr fontId="3" type="noConversion"/>
  </si>
  <si>
    <t>杂果捞</t>
  </si>
  <si>
    <t>杂果捞</t>
    <phoneticPr fontId="3" type="noConversion"/>
  </si>
  <si>
    <t>野菜</t>
    <phoneticPr fontId="3" type="noConversion"/>
  </si>
  <si>
    <t>各类浆果煮熟调味后的食物</t>
    <phoneticPr fontId="3" type="noConversion"/>
  </si>
  <si>
    <t>野菜洗净调味煮制的汤食</t>
    <phoneticPr fontId="3" type="noConversion"/>
  </si>
  <si>
    <t>生肉熬煮制成的食物</t>
    <phoneticPr fontId="3" type="noConversion"/>
  </si>
  <si>
    <t>野外采摘的不知名野生蔬菜</t>
    <phoneticPr fontId="3" type="noConversion"/>
  </si>
  <si>
    <t>果酒</t>
  </si>
  <si>
    <t>米酒</t>
  </si>
  <si>
    <t>胡饼·Good</t>
    <phoneticPr fontId="3" type="noConversion"/>
  </si>
  <si>
    <t>胡饼·Great</t>
    <phoneticPr fontId="3" type="noConversion"/>
  </si>
  <si>
    <t>杂果捞·Good</t>
    <phoneticPr fontId="3" type="noConversion"/>
  </si>
  <si>
    <t>杂果捞·Great</t>
    <phoneticPr fontId="3" type="noConversion"/>
  </si>
  <si>
    <t>杂菜汤·Good</t>
    <phoneticPr fontId="3" type="noConversion"/>
  </si>
  <si>
    <t>杂菜汤·Great</t>
    <phoneticPr fontId="3" type="noConversion"/>
  </si>
  <si>
    <t>肉羹·Good</t>
    <phoneticPr fontId="3" type="noConversion"/>
  </si>
  <si>
    <t>肉羹·Great</t>
    <phoneticPr fontId="3" type="noConversion"/>
  </si>
  <si>
    <t>炙肉·Good</t>
    <phoneticPr fontId="3" type="noConversion"/>
  </si>
  <si>
    <t>炙肉·Great</t>
    <phoneticPr fontId="3" type="noConversion"/>
  </si>
  <si>
    <t>果酒·Good</t>
    <phoneticPr fontId="3" type="noConversion"/>
  </si>
  <si>
    <t>果酒·Great</t>
    <phoneticPr fontId="3" type="noConversion"/>
  </si>
  <si>
    <t>米酒·Good</t>
    <phoneticPr fontId="3" type="noConversion"/>
  </si>
  <si>
    <t>米酒·Great</t>
    <phoneticPr fontId="3" type="noConversion"/>
  </si>
  <si>
    <t>20201006,800;20201007,200</t>
    <phoneticPr fontId="3" type="noConversion"/>
  </si>
  <si>
    <t>20201008,800;20201009,200</t>
    <phoneticPr fontId="3" type="noConversion"/>
  </si>
  <si>
    <t>20201010,800;20201011,200</t>
    <phoneticPr fontId="3" type="noConversion"/>
  </si>
  <si>
    <t>20201012,800;20201013,200</t>
    <phoneticPr fontId="3" type="noConversion"/>
  </si>
  <si>
    <t>20201014,800;20201015,200</t>
    <phoneticPr fontId="3" type="noConversion"/>
  </si>
  <si>
    <t>20201016,800;20201017,200</t>
    <phoneticPr fontId="3" type="noConversion"/>
  </si>
  <si>
    <t>20201018,800;20201019,200</t>
    <phoneticPr fontId="3" type="noConversion"/>
  </si>
  <si>
    <t>稻米</t>
    <phoneticPr fontId="3" type="noConversion"/>
  </si>
  <si>
    <t>20101001,30</t>
    <phoneticPr fontId="3" type="noConversion"/>
  </si>
  <si>
    <t>收割种植水稻后收获的食材</t>
    <phoneticPr fontId="3" type="noConversion"/>
  </si>
  <si>
    <t>水</t>
    <phoneticPr fontId="3" type="noConversion"/>
  </si>
  <si>
    <t>水利万物而不争</t>
    <phoneticPr fontId="3" type="noConversion"/>
  </si>
  <si>
    <t>20101001,10</t>
    <phoneticPr fontId="3" type="noConversion"/>
  </si>
  <si>
    <t>20103001,3,1000;20100014,5,1000</t>
    <phoneticPr fontId="3" type="noConversion"/>
  </si>
  <si>
    <t>20103001,5,1000;20100014,10,1000</t>
    <phoneticPr fontId="3" type="noConversion"/>
  </si>
  <si>
    <t>20103003,3,1000;20100014,5,1000</t>
    <phoneticPr fontId="3" type="noConversion"/>
  </si>
  <si>
    <t>20103003,5,1000;20100014,10,1000</t>
    <phoneticPr fontId="3" type="noConversion"/>
  </si>
  <si>
    <t>20103004,3,1000;20100014,5,1000</t>
    <phoneticPr fontId="3" type="noConversion"/>
  </si>
  <si>
    <t>20103004,5,1000;20100014,10,1000</t>
    <phoneticPr fontId="3" type="noConversion"/>
  </si>
  <si>
    <t>20103005,3,1000;20100014,5,1000</t>
    <phoneticPr fontId="3" type="noConversion"/>
  </si>
  <si>
    <t>20103005,5,1000;20100014,10,1000</t>
    <phoneticPr fontId="3" type="noConversion"/>
  </si>
  <si>
    <t>20103006,3,1000;20100014,5,1000</t>
    <phoneticPr fontId="3" type="noConversion"/>
  </si>
  <si>
    <t>20103006,5,1000;20100014,10,1000</t>
    <phoneticPr fontId="3" type="noConversion"/>
  </si>
  <si>
    <t>20103007,3,1000;20100014,5,1000</t>
    <phoneticPr fontId="3" type="noConversion"/>
  </si>
  <si>
    <t>20103007,5,1000;20100014,10,1000</t>
    <phoneticPr fontId="3" type="noConversion"/>
  </si>
  <si>
    <t>20103008,3,1000;20100014,5,1000</t>
    <phoneticPr fontId="3" type="noConversion"/>
  </si>
  <si>
    <t>20103008,5,1000;20100014,10,1000</t>
    <phoneticPr fontId="3" type="noConversion"/>
  </si>
  <si>
    <t>20104001,1;20104006,2</t>
  </si>
  <si>
    <t>20104001,1;20103002,2</t>
  </si>
  <si>
    <t>20104001,1;20104002,2</t>
  </si>
  <si>
    <t>20104001,1;20104003,2</t>
  </si>
  <si>
    <t>20104001,3;20103002,2</t>
  </si>
  <si>
    <t>20104001,3;20104005,2</t>
  </si>
  <si>
    <t>20104003,3</t>
    <phoneticPr fontId="3" type="noConversion"/>
  </si>
  <si>
    <t>水和面粉，制作胡饼</t>
    <phoneticPr fontId="3" type="noConversion"/>
  </si>
  <si>
    <t>水和浆果，制作杂果捞</t>
    <phoneticPr fontId="3" type="noConversion"/>
  </si>
  <si>
    <t>水和野菜，制作杂菜汤</t>
    <phoneticPr fontId="3" type="noConversion"/>
  </si>
  <si>
    <t>水和生肉，制作肉羹</t>
    <phoneticPr fontId="3" type="noConversion"/>
  </si>
  <si>
    <t>生肉直接烤制，制作炙肉</t>
    <phoneticPr fontId="3" type="noConversion"/>
  </si>
  <si>
    <t>浆果发酵加水，酿制果酒</t>
    <phoneticPr fontId="3" type="noConversion"/>
  </si>
  <si>
    <t>稻米发酵加水，酿制米酒</t>
    <phoneticPr fontId="3" type="noConversion"/>
  </si>
  <si>
    <t>采矿工</t>
    <phoneticPr fontId="3" type="noConversion"/>
  </si>
  <si>
    <t>勘探、开采矿石的专业能力</t>
    <phoneticPr fontId="3" type="noConversion"/>
  </si>
  <si>
    <t>10521001,1</t>
    <phoneticPr fontId="3" type="noConversion"/>
  </si>
  <si>
    <t>ZuoTang</t>
    <phoneticPr fontId="3" type="noConversion"/>
  </si>
  <si>
    <t>左堂</t>
    <phoneticPr fontId="3" type="noConversion"/>
  </si>
  <si>
    <t>lord_grade_level</t>
    <phoneticPr fontId="3" type="noConversion"/>
  </si>
  <si>
    <t>从九品下</t>
    <phoneticPr fontId="3" type="noConversion"/>
  </si>
  <si>
    <t>从九品上</t>
    <phoneticPr fontId="3" type="noConversion"/>
  </si>
  <si>
    <t>正九品下</t>
    <phoneticPr fontId="3" type="noConversion"/>
  </si>
  <si>
    <t>正九品上</t>
    <phoneticPr fontId="3" type="noConversion"/>
  </si>
  <si>
    <t>从八品下</t>
    <phoneticPr fontId="3" type="noConversion"/>
  </si>
  <si>
    <t>从八品上</t>
    <phoneticPr fontId="3" type="noConversion"/>
  </si>
  <si>
    <t>正八品下</t>
    <phoneticPr fontId="3" type="noConversion"/>
  </si>
  <si>
    <t>正八品上</t>
    <phoneticPr fontId="3" type="noConversion"/>
  </si>
  <si>
    <t>从七品下</t>
    <phoneticPr fontId="3" type="noConversion"/>
  </si>
  <si>
    <t>从七品上</t>
    <phoneticPr fontId="3" type="noConversion"/>
  </si>
  <si>
    <t>正七品下</t>
    <phoneticPr fontId="3" type="noConversion"/>
  </si>
  <si>
    <t>正七品上</t>
    <phoneticPr fontId="3" type="noConversion"/>
  </si>
  <si>
    <t>从六品下</t>
    <phoneticPr fontId="3" type="noConversion"/>
  </si>
  <si>
    <t>从六品上</t>
    <phoneticPr fontId="3" type="noConversion"/>
  </si>
  <si>
    <t>正六品下</t>
    <phoneticPr fontId="3" type="noConversion"/>
  </si>
  <si>
    <t>正六品上</t>
    <phoneticPr fontId="3" type="noConversion"/>
  </si>
  <si>
    <t>从五品下</t>
    <phoneticPr fontId="3" type="noConversion"/>
  </si>
  <si>
    <t>从五品上</t>
    <phoneticPr fontId="3" type="noConversion"/>
  </si>
  <si>
    <t>正五品下</t>
    <phoneticPr fontId="3" type="noConversion"/>
  </si>
  <si>
    <t>正五品上</t>
    <phoneticPr fontId="3" type="noConversion"/>
  </si>
  <si>
    <t>从四品下</t>
    <phoneticPr fontId="3" type="noConversion"/>
  </si>
  <si>
    <t>从四品上</t>
    <phoneticPr fontId="3" type="noConversion"/>
  </si>
  <si>
    <t>正四品下</t>
    <phoneticPr fontId="3" type="noConversion"/>
  </si>
  <si>
    <t>正四品上</t>
    <phoneticPr fontId="3" type="noConversion"/>
  </si>
  <si>
    <t>从三品</t>
    <phoneticPr fontId="3" type="noConversion"/>
  </si>
  <si>
    <t>正三品</t>
    <phoneticPr fontId="3" type="noConversion"/>
  </si>
  <si>
    <t>从二品</t>
    <phoneticPr fontId="3" type="noConversion"/>
  </si>
  <si>
    <t>正二品</t>
    <phoneticPr fontId="3" type="noConversion"/>
  </si>
  <si>
    <t>从一品</t>
    <phoneticPr fontId="3" type="noConversion"/>
  </si>
  <si>
    <t>正一品</t>
    <phoneticPr fontId="3" type="noConversion"/>
  </si>
  <si>
    <t>太子太师、太子太傅、太子太保、开府仪同三司、骠骑大将军、嗣王、郡王、国公</t>
    <phoneticPr fontId="3" type="noConversion"/>
  </si>
  <si>
    <t>太师、太傅、太保、太尉、司徒、司空、天策上将、王</t>
    <phoneticPr fontId="3" type="noConversion"/>
  </si>
  <si>
    <t>尚书令、特进、辅国大将军、开国郡公、上柱国</t>
    <phoneticPr fontId="3" type="noConversion"/>
  </si>
  <si>
    <t>尚书左右仆射、太子少师、太子少傅、太子少保、京兆府尹</t>
    <phoneticPr fontId="3" type="noConversion"/>
  </si>
  <si>
    <t>钱粮司</t>
    <phoneticPr fontId="3" type="noConversion"/>
  </si>
  <si>
    <t>QianLiangSi</t>
    <phoneticPr fontId="3" type="noConversion"/>
  </si>
  <si>
    <t>10521002,1</t>
    <phoneticPr fontId="3" type="noConversion"/>
  </si>
  <si>
    <t>10522001,1</t>
    <phoneticPr fontId="3" type="noConversion"/>
  </si>
  <si>
    <t>10522002,1</t>
    <phoneticPr fontId="3" type="noConversion"/>
  </si>
  <si>
    <t>HuoLang</t>
    <phoneticPr fontId="3" type="noConversion"/>
  </si>
  <si>
    <t>货郎</t>
    <phoneticPr fontId="3" type="noConversion"/>
  </si>
  <si>
    <t>贩卖商品</t>
    <phoneticPr fontId="3" type="noConversion"/>
  </si>
  <si>
    <t>10523001,1;10516002,3|10523001,1;10516002,5|10523001,1;10516002,8</t>
    <phoneticPr fontId="3" type="noConversion"/>
  </si>
  <si>
    <t>10500003,1|10500003,2|10500003,3</t>
    <phoneticPr fontId="3" type="noConversion"/>
  </si>
  <si>
    <t>10511001,2|10511001,3|10511001,3</t>
    <phoneticPr fontId="3" type="noConversion"/>
  </si>
  <si>
    <t>10512001,2|10512001,3|10512001,3</t>
    <phoneticPr fontId="3" type="noConversion"/>
  </si>
  <si>
    <t>10514001,2|10514001,3|10514001,3</t>
    <phoneticPr fontId="3" type="noConversion"/>
  </si>
  <si>
    <t>10514002,2|10514002,3|10514002,3</t>
    <phoneticPr fontId="3" type="noConversion"/>
  </si>
  <si>
    <t>10513001,2|10513001,3|10513001,3</t>
    <phoneticPr fontId="3" type="noConversion"/>
  </si>
  <si>
    <t>500</t>
    <phoneticPr fontId="3" type="noConversion"/>
  </si>
  <si>
    <t>800</t>
    <phoneticPr fontId="3" type="noConversion"/>
  </si>
  <si>
    <t>1000,1500,2000</t>
    <phoneticPr fontId="3" type="noConversion"/>
  </si>
  <si>
    <t>800,1200,1600</t>
    <phoneticPr fontId="3" type="noConversion"/>
  </si>
  <si>
    <t>600,800,1000</t>
    <phoneticPr fontId="3" type="noConversion"/>
  </si>
  <si>
    <t>400,600,800</t>
    <phoneticPr fontId="3" type="noConversion"/>
  </si>
  <si>
    <t>200</t>
    <phoneticPr fontId="3" type="noConversion"/>
  </si>
  <si>
    <t>300</t>
    <phoneticPr fontId="3" type="noConversion"/>
  </si>
  <si>
    <t>1,1;3,2;5,3</t>
    <phoneticPr fontId="3" type="noConversion"/>
  </si>
  <si>
    <t>2,1</t>
    <phoneticPr fontId="3" type="noConversion"/>
  </si>
  <si>
    <t>1,1;3,1;5,1</t>
    <phoneticPr fontId="3" type="noConversion"/>
  </si>
  <si>
    <t>1,2;2,2;3,2;4,2;5,2</t>
    <phoneticPr fontId="3" type="noConversion"/>
  </si>
  <si>
    <t>1,1;4,1</t>
    <phoneticPr fontId="3" type="noConversion"/>
  </si>
  <si>
    <t>县衙处理公事场所，可派驻师爷</t>
    <phoneticPr fontId="3" type="noConversion"/>
  </si>
  <si>
    <t>县衙佐贰公署，可派驻县丞</t>
    <phoneticPr fontId="3" type="noConversion"/>
  </si>
  <si>
    <t>县衙的小型钱粮库房，可派驻账房</t>
    <phoneticPr fontId="3" type="noConversion"/>
  </si>
  <si>
    <t>主管钱粮税赋场所，可派驻主簿</t>
    <phoneticPr fontId="3" type="noConversion"/>
  </si>
  <si>
    <t>一县治所，县令及其佐官办公居住场所</t>
    <phoneticPr fontId="3" type="noConversion"/>
  </si>
  <si>
    <t>存放本县食物、食材</t>
    <phoneticPr fontId="3" type="noConversion"/>
  </si>
  <si>
    <t>存放本县各项物资</t>
    <phoneticPr fontId="3" type="noConversion"/>
  </si>
  <si>
    <t>提供居民住所</t>
    <phoneticPr fontId="3" type="noConversion"/>
  </si>
  <si>
    <t>取水设施</t>
    <phoneticPr fontId="3" type="noConversion"/>
  </si>
  <si>
    <t>提供居民餐食的场所</t>
    <phoneticPr fontId="3" type="noConversion"/>
  </si>
  <si>
    <t>物资打包，进行贸易的场所</t>
    <phoneticPr fontId="3" type="noConversion"/>
  </si>
  <si>
    <t>采集、培育野外食用植物</t>
    <phoneticPr fontId="3" type="noConversion"/>
  </si>
  <si>
    <t>砍伐、种植野外树木</t>
    <phoneticPr fontId="3" type="noConversion"/>
  </si>
  <si>
    <t>开采石料，炸山开石</t>
    <phoneticPr fontId="3" type="noConversion"/>
  </si>
  <si>
    <t>开采、勘探野外铁矿</t>
    <phoneticPr fontId="3" type="noConversion"/>
  </si>
  <si>
    <t>捕猎野外猎物</t>
    <phoneticPr fontId="3" type="noConversion"/>
  </si>
  <si>
    <t>种植并收获农作物</t>
    <phoneticPr fontId="3" type="noConversion"/>
  </si>
  <si>
    <t>养殖并收获畜牧产品</t>
    <phoneticPr fontId="3" type="noConversion"/>
  </si>
  <si>
    <t>养殖并收获水产品</t>
    <phoneticPr fontId="3" type="noConversion"/>
  </si>
  <si>
    <t>建造各类建筑</t>
    <phoneticPr fontId="3" type="noConversion"/>
  </si>
  <si>
    <t>粗加工农作物食材</t>
    <phoneticPr fontId="3" type="noConversion"/>
  </si>
  <si>
    <t>粗加工纺织类材料</t>
    <phoneticPr fontId="3" type="noConversion"/>
  </si>
  <si>
    <t>使用木材制作木器</t>
    <phoneticPr fontId="3" type="noConversion"/>
  </si>
  <si>
    <t>使用石料制作石器</t>
    <phoneticPr fontId="3" type="noConversion"/>
  </si>
  <si>
    <t>使用铁矿制作铁器</t>
    <phoneticPr fontId="3" type="noConversion"/>
  </si>
  <si>
    <t>使用皮料、布料制作服饰</t>
    <phoneticPr fontId="3" type="noConversion"/>
  </si>
  <si>
    <t>消耗食材烹制各种食物</t>
    <phoneticPr fontId="3" type="noConversion"/>
  </si>
  <si>
    <t>消耗粮食酿制各种酒品</t>
    <phoneticPr fontId="3" type="noConversion"/>
  </si>
  <si>
    <t>向居民贩售各类生活必需品</t>
    <phoneticPr fontId="3" type="noConversion"/>
  </si>
  <si>
    <t>装点领地景观，提升幸福度</t>
    <phoneticPr fontId="3" type="noConversion"/>
  </si>
  <si>
    <t>最简单的铺装道路，改善通行速度</t>
    <phoneticPr fontId="3" type="noConversion"/>
  </si>
  <si>
    <t>整齐美观的道路，大幅提升通行速度</t>
    <phoneticPr fontId="3" type="noConversion"/>
  </si>
  <si>
    <t>31100001,1</t>
    <phoneticPr fontId="3" type="noConversion"/>
  </si>
  <si>
    <t>31100003,1</t>
    <phoneticPr fontId="3" type="noConversion"/>
  </si>
  <si>
    <t>31101001,1|31101001,2|31101001,3</t>
    <phoneticPr fontId="3" type="noConversion"/>
  </si>
  <si>
    <t>31101001,1</t>
    <phoneticPr fontId="3" type="noConversion"/>
  </si>
  <si>
    <t>31103001,1;31105001,1|31104001,1|31103001,2</t>
    <phoneticPr fontId="3" type="noConversion"/>
  </si>
  <si>
    <t>31103001,1||31103001,2</t>
    <phoneticPr fontId="3" type="noConversion"/>
  </si>
  <si>
    <t>31103002,1||31103002,2</t>
    <phoneticPr fontId="3" type="noConversion"/>
  </si>
  <si>
    <t>31103002,1;31104001,1||31103002,2;31104001,2</t>
    <phoneticPr fontId="3" type="noConversion"/>
  </si>
  <si>
    <t>20102001,120;20102002,120;20102003,120</t>
  </si>
  <si>
    <t>20102001,250;20102002,250;20102003,250</t>
  </si>
  <si>
    <t>20102001,100;20102002,100;20102003,100|20102001,500;20102002,500;20102003,500|20102001,800;20102002,800;20102003,800</t>
  </si>
  <si>
    <t>20102001,200;20102002,200;20102003,200|20102001,400;20102002,400;20102003,400|20102001,700;20102002,700;20102003,700</t>
  </si>
  <si>
    <t>20102001,50;20102002,50|20102001,80;20102002,80;20102003,30|20102001,120;20102002,120;20102003,60</t>
  </si>
  <si>
    <t>20102001,80;20102002,80;20102003,20|20102001,120;20102002,120;20102003,50|20102001,200;20102002,200;20102003,80</t>
  </si>
  <si>
    <t>20102001,50;20102002,50</t>
  </si>
  <si>
    <t>20102001,100;20102002,100;20102003,40|20102001,150;20102002,150;20102003,60|20102001,200;20102002,200;20102003,80</t>
  </si>
  <si>
    <t>20102001,40;20102002,40;20102003,20|20102001,80;20102002,80;20102003,40|20102001,160;20102002,160;20102003,80</t>
  </si>
  <si>
    <t>20102001,20;20102002,40;20102003,40|20102001,40;20102002,80;20102003,80|20102001,80;20102002,160;20102003,160</t>
  </si>
  <si>
    <t>20102001,40;20102002,20;20102003,40|20102001,80;20102002,40;20102003,80|20102001,160;20102002,80;20102003,160</t>
  </si>
  <si>
    <t>20102001,20;20102002,20;20102003,40|20102001,40;20102002,40;20102003,80|20102001,80;20102002,80;20102003,160</t>
  </si>
  <si>
    <t>20102001,40;20102002,40;20102003,20|20102001,60;20102002,60;20102003,30|20102001,80;20102002,80;20102003,40</t>
  </si>
  <si>
    <t>20102001,60;20102002,60;20102003,30|20102001,90;20102002,90;20102003,50|20102001,150;20102002,150;20102003,100</t>
  </si>
  <si>
    <t>20102002,5</t>
  </si>
  <si>
    <t>20102002,8</t>
  </si>
  <si>
    <t>2;20,50,80</t>
    <phoneticPr fontId="3" type="noConversion"/>
  </si>
  <si>
    <t>1;200,300,400</t>
    <phoneticPr fontId="3" type="noConversion"/>
  </si>
  <si>
    <t>2</t>
    <phoneticPr fontId="3" type="noConversion"/>
  </si>
  <si>
    <t>3,4</t>
    <phoneticPr fontId="3" type="noConversion"/>
  </si>
  <si>
    <t>2,5</t>
    <phoneticPr fontId="3" type="noConversion"/>
  </si>
  <si>
    <t>2,5,6</t>
    <phoneticPr fontId="3" type="noConversion"/>
  </si>
  <si>
    <t>4,5</t>
    <phoneticPr fontId="3" type="noConversion"/>
  </si>
  <si>
    <t>4,8</t>
    <phoneticPr fontId="3" type="noConversion"/>
  </si>
  <si>
    <t>5,8</t>
    <phoneticPr fontId="3" type="noConversion"/>
  </si>
  <si>
    <t>500,500,500</t>
    <phoneticPr fontId="3" type="noConversion"/>
  </si>
  <si>
    <t>300,500,800</t>
    <phoneticPr fontId="3" type="noConversion"/>
  </si>
  <si>
    <t>50</t>
    <phoneticPr fontId="3" type="noConversion"/>
  </si>
  <si>
    <t>200,300,400</t>
    <phoneticPr fontId="3" type="noConversion"/>
  </si>
  <si>
    <t>500,1000,2000</t>
    <phoneticPr fontId="3" type="noConversion"/>
  </si>
  <si>
    <t>100,150,200</t>
    <phoneticPr fontId="3" type="noConversion"/>
  </si>
  <si>
    <t>150,200,250</t>
    <phoneticPr fontId="3" type="noConversion"/>
  </si>
  <si>
    <t>建筑材料</t>
  </si>
  <si>
    <t>建筑费用</t>
  </si>
  <si>
    <t>建筑建造/升级需要消耗的建筑材料，包括物品= Item.id，及其数量cnt</t>
  </si>
  <si>
    <t>array["build:int","daily:int"]</t>
  </si>
  <si>
    <t>建筑建造/升级需要消耗的基础货币，以及对应等级的日常维护成本</t>
  </si>
  <si>
    <t>50000,200</t>
    <phoneticPr fontId="3" type="noConversion"/>
  </si>
  <si>
    <t>120000,500</t>
    <phoneticPr fontId="3" type="noConversion"/>
  </si>
  <si>
    <t>300000,1500;500000,3000;800000,5000</t>
    <phoneticPr fontId="3" type="noConversion"/>
  </si>
  <si>
    <t>150000,800;250000,1200;350000,1600</t>
    <phoneticPr fontId="3" type="noConversion"/>
  </si>
  <si>
    <t>30000,300;40000,400;50000,500</t>
    <phoneticPr fontId="3" type="noConversion"/>
  </si>
  <si>
    <t>25000,250</t>
    <phoneticPr fontId="3" type="noConversion"/>
  </si>
  <si>
    <t>40000,400;60000,600;80000,800</t>
    <phoneticPr fontId="3" type="noConversion"/>
  </si>
  <si>
    <t>20000,200;30000,300;40000,400</t>
    <phoneticPr fontId="3" type="noConversion"/>
  </si>
  <si>
    <t>60000,600;80000,800;100000,1000</t>
    <phoneticPr fontId="3" type="noConversion"/>
  </si>
  <si>
    <t>matrix["job:int","max:int"]</t>
    <phoneticPr fontId="3" type="noConversion"/>
  </si>
  <si>
    <t>daily_cost</t>
  </si>
  <si>
    <t>每日费用</t>
  </si>
  <si>
    <t>从事当前工作的角色，每日需要支付的费用，包括货币id和数量</t>
  </si>
  <si>
    <t>20101001,20</t>
    <phoneticPr fontId="3" type="noConversion"/>
  </si>
  <si>
    <t>20101001,40</t>
    <phoneticPr fontId="3" type="noConversion"/>
  </si>
  <si>
    <t>20101001,500</t>
    <phoneticPr fontId="3" type="noConversion"/>
  </si>
  <si>
    <t>1000,1000,1000</t>
    <phoneticPr fontId="3" type="noConversion"/>
  </si>
  <si>
    <t>5</t>
    <phoneticPr fontId="3" type="noConversion"/>
  </si>
  <si>
    <t>500,750,1000</t>
    <phoneticPr fontId="3" type="noConversion"/>
  </si>
  <si>
    <t>600,900,1200</t>
    <phoneticPr fontId="3" type="noConversion"/>
  </si>
  <si>
    <t>1;31100001,31100002|3;31100003,31100004</t>
    <phoneticPr fontId="3" type="noConversion"/>
  </si>
  <si>
    <t>1,2,2</t>
    <phoneticPr fontId="3" type="noConversion"/>
  </si>
  <si>
    <t>8,12,16</t>
    <phoneticPr fontId="3" type="noConversion"/>
  </si>
  <si>
    <t>建筑物内工作目标筛选条件，type类型，target_list可用列表（资源类ScenePart.id,…；生产类Formula.id,…；销售类Item.type,…）</t>
    <phoneticPr fontId="3" type="noConversion"/>
  </si>
  <si>
    <t>打水</t>
    <phoneticPr fontId="3" type="noConversion"/>
  </si>
  <si>
    <t>20104001,1,1000</t>
    <phoneticPr fontId="3" type="noConversion"/>
  </si>
  <si>
    <t>20201020,1000</t>
    <phoneticPr fontId="3" type="noConversion"/>
  </si>
  <si>
    <t>MakeTarget;20301002,20301003|MakeTarget;20301004,20301005|MakeTarget;20301001,20301006,20301007</t>
    <phoneticPr fontId="3" type="noConversion"/>
  </si>
  <si>
    <t>MakeTarget;20302001</t>
    <phoneticPr fontId="3" type="noConversion"/>
  </si>
  <si>
    <t>额外背囊</t>
    <phoneticPr fontId="3" type="noConversion"/>
  </si>
  <si>
    <t>精神补充</t>
    <phoneticPr fontId="3" type="noConversion"/>
  </si>
  <si>
    <t>统一制服</t>
    <phoneticPr fontId="3" type="noConversion"/>
  </si>
  <si>
    <t>环境恶劣</t>
    <phoneticPr fontId="3" type="noConversion"/>
  </si>
  <si>
    <t>提供额外10点负载</t>
  </si>
  <si>
    <t>提供额外10点负载</t>
    <phoneticPr fontId="3" type="noConversion"/>
  </si>
  <si>
    <t>每次回返卸货，恢复10点精神</t>
  </si>
  <si>
    <t>每次回返卸货，恢复10点精神</t>
    <phoneticPr fontId="3" type="noConversion"/>
  </si>
  <si>
    <t>卫生下降速度降低20%</t>
  </si>
  <si>
    <t>卫生下降速度降低20%</t>
    <phoneticPr fontId="3" type="noConversion"/>
  </si>
  <si>
    <t>卫生下降速度提升30%</t>
  </si>
  <si>
    <t>卫生下降速度提升30%</t>
    <phoneticPr fontId="3" type="noConversion"/>
  </si>
  <si>
    <t>backUnload(TRUE)</t>
    <phoneticPr fontId="3" type="noConversion"/>
  </si>
  <si>
    <t>flash</t>
    <phoneticPr fontId="3" type="noConversion"/>
  </si>
  <si>
    <t>roleDesireCurFix(2,power)</t>
    <phoneticPr fontId="3" type="noConversion"/>
  </si>
  <si>
    <t>roleDesireMaxFix(0,power)</t>
    <phoneticPr fontId="3" type="noConversion"/>
  </si>
  <si>
    <t>roleDesireMaxFix(1,power)</t>
  </si>
  <si>
    <t>roleDesireMaxFix(2,power)</t>
  </si>
  <si>
    <t>roleDesireMaxFix(3,power)</t>
  </si>
  <si>
    <t>roleDesireMaxFix(4,power)</t>
  </si>
  <si>
    <t>角色需求当前值修正，2=精神</t>
    <phoneticPr fontId="3" type="noConversion"/>
  </si>
  <si>
    <t>roleLoadMaxFix(power)</t>
    <phoneticPr fontId="3" type="noConversion"/>
  </si>
  <si>
    <t>角色负载量修正</t>
    <phoneticPr fontId="3" type="noConversion"/>
  </si>
  <si>
    <t>为工人提供更大背包</t>
    <phoneticPr fontId="3" type="noConversion"/>
  </si>
  <si>
    <t>为工人提供精神补充</t>
    <phoneticPr fontId="3" type="noConversion"/>
  </si>
  <si>
    <t>统一的制服，更加整洁</t>
    <phoneticPr fontId="3" type="noConversion"/>
  </si>
  <si>
    <t>工作环境脏乱差</t>
    <phoneticPr fontId="3" type="noConversion"/>
  </si>
  <si>
    <t>;12030101</t>
    <phoneticPr fontId="3" type="noConversion"/>
  </si>
  <si>
    <t>ScenePart</t>
    <phoneticPr fontId="3" type="noConversion"/>
  </si>
  <si>
    <t>303xxxxx</t>
    <phoneticPr fontId="3" type="noConversion"/>
  </si>
  <si>
    <t>restore_interval_sec</t>
  </si>
  <si>
    <t>物件编号</t>
  </si>
  <si>
    <t>物件类型</t>
  </si>
  <si>
    <t>物件名称</t>
  </si>
  <si>
    <t>物件描述</t>
  </si>
  <si>
    <t>回复间隔</t>
  </si>
  <si>
    <t>8位数字编号，303xxyyy，xx=type，yyy=纯流水</t>
  </si>
  <si>
    <t>场景物件关联资源ResName标识</t>
  </si>
  <si>
    <t>场景物件名称文本，5个字符内</t>
  </si>
  <si>
    <t>场景物件描述文本，20个字符内</t>
  </si>
  <si>
    <t>浆果树</t>
    <phoneticPr fontId="3" type="noConversion"/>
  </si>
  <si>
    <t>小石头</t>
    <phoneticPr fontId="3" type="noConversion"/>
  </si>
  <si>
    <t>巨石</t>
    <phoneticPr fontId="3" type="noConversion"/>
  </si>
  <si>
    <t>赤铁矿</t>
    <phoneticPr fontId="3" type="noConversion"/>
  </si>
  <si>
    <t>黑铁矿</t>
    <phoneticPr fontId="3" type="noConversion"/>
  </si>
  <si>
    <t>菱铁矿</t>
    <phoneticPr fontId="3" type="noConversion"/>
  </si>
  <si>
    <t>鸡</t>
    <phoneticPr fontId="3" type="noConversion"/>
  </si>
  <si>
    <t>牛</t>
    <phoneticPr fontId="3" type="noConversion"/>
  </si>
  <si>
    <t>羊</t>
    <phoneticPr fontId="3" type="noConversion"/>
  </si>
  <si>
    <t>野鸡</t>
    <phoneticPr fontId="3" type="noConversion"/>
  </si>
  <si>
    <t>杂物箱</t>
    <phoneticPr fontId="3" type="noConversion"/>
  </si>
  <si>
    <t>JiangGuoShu</t>
    <phoneticPr fontId="3" type="noConversion"/>
  </si>
  <si>
    <t>橡树</t>
    <phoneticPr fontId="3" type="noConversion"/>
  </si>
  <si>
    <t>梧桐树</t>
    <phoneticPr fontId="3" type="noConversion"/>
  </si>
  <si>
    <t>XiangShu</t>
    <phoneticPr fontId="3" type="noConversion"/>
  </si>
  <si>
    <t>WuTongShu</t>
    <phoneticPr fontId="3" type="noConversion"/>
  </si>
  <si>
    <t>XiaoShiTou</t>
    <phoneticPr fontId="3" type="noConversion"/>
  </si>
  <si>
    <t>JuShi</t>
    <phoneticPr fontId="3" type="noConversion"/>
  </si>
  <si>
    <t>ChiTieKuang</t>
    <phoneticPr fontId="3" type="noConversion"/>
  </si>
  <si>
    <t>HeiTieKuang</t>
    <phoneticPr fontId="3" type="noConversion"/>
  </si>
  <si>
    <t>LingTieKuang</t>
    <phoneticPr fontId="3" type="noConversion"/>
  </si>
  <si>
    <t>XiaoMai</t>
    <phoneticPr fontId="3" type="noConversion"/>
  </si>
  <si>
    <t>MianHua</t>
    <phoneticPr fontId="3" type="noConversion"/>
  </si>
  <si>
    <t>Ji</t>
    <phoneticPr fontId="3" type="noConversion"/>
  </si>
  <si>
    <t>Niu</t>
    <phoneticPr fontId="3" type="noConversion"/>
  </si>
  <si>
    <t>Yang</t>
    <phoneticPr fontId="3" type="noConversion"/>
  </si>
  <si>
    <t>YeJi</t>
    <phoneticPr fontId="3" type="noConversion"/>
  </si>
  <si>
    <t>ZaWuXiang</t>
    <phoneticPr fontId="3" type="noConversion"/>
  </si>
  <si>
    <t>野外生长可以采摘浆果的树木</t>
    <phoneticPr fontId="3" type="noConversion"/>
  </si>
  <si>
    <t>最常见的树木，砍伐可获得木材</t>
    <phoneticPr fontId="3" type="noConversion"/>
  </si>
  <si>
    <t>宽叶乔木，砍伐可获得木材</t>
    <phoneticPr fontId="3" type="noConversion"/>
  </si>
  <si>
    <t>一小块石头，可获得少量石料</t>
    <phoneticPr fontId="3" type="noConversion"/>
  </si>
  <si>
    <t>最常见的石块，可开采石料</t>
    <phoneticPr fontId="3" type="noConversion"/>
  </si>
  <si>
    <t>石块</t>
    <phoneticPr fontId="3" type="noConversion"/>
  </si>
  <si>
    <t>ShiKuang</t>
    <phoneticPr fontId="3" type="noConversion"/>
  </si>
  <si>
    <t>一大块巨石，开采可获得大量石料</t>
    <phoneticPr fontId="3" type="noConversion"/>
  </si>
  <si>
    <t>最普通的露天铁矿，开采可获得铁矿</t>
    <phoneticPr fontId="3" type="noConversion"/>
  </si>
  <si>
    <t>含量较丰富的铁矿，蕴藏铁矿量较大</t>
    <phoneticPr fontId="3" type="noConversion"/>
  </si>
  <si>
    <t>特殊含量的铁矿，开采难度较低</t>
    <phoneticPr fontId="3" type="noConversion"/>
  </si>
  <si>
    <t>普遍种植的粮食作物，重要的主食来源</t>
    <phoneticPr fontId="3" type="noConversion"/>
  </si>
  <si>
    <t>普遍种植的经济作物，提供纺织原料棉花</t>
    <phoneticPr fontId="3" type="noConversion"/>
  </si>
  <si>
    <t>最容易饲养的家禽，可提供禽肉、蛋</t>
    <phoneticPr fontId="3" type="noConversion"/>
  </si>
  <si>
    <t>饲养的大型家畜，可提供畜肉、奶、皮革</t>
    <phoneticPr fontId="3" type="noConversion"/>
  </si>
  <si>
    <t>野外常见动物，捕猎可获得畜肉、皮革</t>
    <phoneticPr fontId="3" type="noConversion"/>
  </si>
  <si>
    <t>野外常见猎物，捕猎可获得禽肉、蛋</t>
    <phoneticPr fontId="3" type="noConversion"/>
  </si>
  <si>
    <t>饲养的中型家畜，可提供畜肉、奶、羊毛</t>
    <phoneticPr fontId="3" type="noConversion"/>
  </si>
  <si>
    <t>不知是什么人遗落的杂物箱</t>
    <phoneticPr fontId="3" type="noConversion"/>
  </si>
  <si>
    <t>Plant</t>
    <phoneticPr fontId="3" type="noConversion"/>
  </si>
  <si>
    <t>grow_duration_sec</t>
  </si>
  <si>
    <t>生长物件</t>
  </si>
  <si>
    <t>生长时长</t>
  </si>
  <si>
    <t>场景物件生长转换的目标物件，= ScenePart.id,…（仅type=0有多项，代表可用物件列表），null=不能成长</t>
  </si>
  <si>
    <t>场景物件生长转换所需时间，0/null=无需等待成长时间，单位：秒s</t>
  </si>
  <si>
    <t>raise_action</t>
  </si>
  <si>
    <t>raise_duration_sec</t>
  </si>
  <si>
    <t>gain_action</t>
  </si>
  <si>
    <t>gain_duration_sec</t>
  </si>
  <si>
    <t>gain_drop</t>
  </si>
  <si>
    <t>gain_loop_max</t>
  </si>
  <si>
    <t>培育行为</t>
  </si>
  <si>
    <t>培育时长</t>
  </si>
  <si>
    <t>收获行为</t>
  </si>
  <si>
    <t>收获时长</t>
  </si>
  <si>
    <t>收获掉落</t>
  </si>
  <si>
    <t>收获容量</t>
  </si>
  <si>
    <t>场景物件分类枚举：0=场景点位，1=采集物PluckTarget，2=砍伐物HewTarget，3=挖掘物PickaxeTarget，4=狩猎物HuntTarget，5=收获物HarvestTarget，9=拾取物PickTarget；1x=生长物GrowPart</t>
  </si>
  <si>
    <t>场景物件生长所需执行的培育行为，= RoleAction.res</t>
  </si>
  <si>
    <t>场景物件执行一次有效的培育行为所需时间，行为中断后重新计时，单位：秒s</t>
  </si>
  <si>
    <t>场景物件获得收益掉落所需的收获行为，= RoleAction.res</t>
  </si>
  <si>
    <t>场景物件执行一次有效的收获行为所需时间，行为中断后重新计时，单位：秒s</t>
  </si>
  <si>
    <t>场景物件一次收获掉落内容，可分为Good/Great两档</t>
  </si>
  <si>
    <t>场景物件最大可收获次数，不可回复的物件在次数清0后播放收割态并消失</t>
  </si>
  <si>
    <t>场景物件掉落容量每回复一次的间隔时间，0/null = 不回复，单位：秒s</t>
  </si>
  <si>
    <t>grow_part</t>
    <phoneticPr fontId="3" type="noConversion"/>
  </si>
  <si>
    <t>培植点</t>
    <phoneticPr fontId="3" type="noConversion"/>
  </si>
  <si>
    <t>种植点</t>
    <phoneticPr fontId="3" type="noConversion"/>
  </si>
  <si>
    <t>矿藏点</t>
    <phoneticPr fontId="3" type="noConversion"/>
  </si>
  <si>
    <t>农田</t>
    <phoneticPr fontId="3" type="noConversion"/>
  </si>
  <si>
    <t>畜栏</t>
    <phoneticPr fontId="3" type="noConversion"/>
  </si>
  <si>
    <t>NongTian</t>
    <phoneticPr fontId="3" type="noConversion"/>
  </si>
  <si>
    <t>ChuLan</t>
    <phoneticPr fontId="3" type="noConversion"/>
  </si>
  <si>
    <t>场景预设的看不到的果树种植点</t>
    <phoneticPr fontId="3" type="noConversion"/>
  </si>
  <si>
    <t>场景预设的看不到的树木种植点</t>
    <phoneticPr fontId="3" type="noConversion"/>
  </si>
  <si>
    <t>场景预设的看不到的矿藏勘测点</t>
    <phoneticPr fontId="3" type="noConversion"/>
  </si>
  <si>
    <t>农庄内整地创建用于种植农作物的基底</t>
    <phoneticPr fontId="3" type="noConversion"/>
  </si>
  <si>
    <t>牧场内整地创建用于饲养家禽家畜的基底</t>
    <phoneticPr fontId="3" type="noConversion"/>
  </si>
  <si>
    <t>浆果树苗</t>
    <phoneticPr fontId="3" type="noConversion"/>
  </si>
  <si>
    <t>小浆果树</t>
    <phoneticPr fontId="3" type="noConversion"/>
  </si>
  <si>
    <t>30301001</t>
    <phoneticPr fontId="3" type="noConversion"/>
  </si>
  <si>
    <t>30311002</t>
    <phoneticPr fontId="3" type="noConversion"/>
  </si>
  <si>
    <t>梧桐树苗</t>
    <phoneticPr fontId="3" type="noConversion"/>
  </si>
  <si>
    <t>小梧桐树</t>
    <phoneticPr fontId="3" type="noConversion"/>
  </si>
  <si>
    <t>橡树苗</t>
    <phoneticPr fontId="3" type="noConversion"/>
  </si>
  <si>
    <t>小橡树</t>
    <phoneticPr fontId="3" type="noConversion"/>
  </si>
  <si>
    <t>未知矿藏</t>
    <phoneticPr fontId="3" type="noConversion"/>
  </si>
  <si>
    <t>小麦种</t>
    <phoneticPr fontId="3" type="noConversion"/>
  </si>
  <si>
    <t>小麦苗</t>
    <phoneticPr fontId="3" type="noConversion"/>
  </si>
  <si>
    <t>青杆小麦</t>
    <phoneticPr fontId="3" type="noConversion"/>
  </si>
  <si>
    <t>抽穗小麦</t>
    <phoneticPr fontId="3" type="noConversion"/>
  </si>
  <si>
    <t>棉花种</t>
    <phoneticPr fontId="3" type="noConversion"/>
  </si>
  <si>
    <t>棉花苗</t>
    <phoneticPr fontId="3" type="noConversion"/>
  </si>
  <si>
    <t>蕾期棉花</t>
    <phoneticPr fontId="3" type="noConversion"/>
  </si>
  <si>
    <t>花铃棉花</t>
    <phoneticPr fontId="3" type="noConversion"/>
  </si>
  <si>
    <t>鸡仔</t>
    <phoneticPr fontId="3" type="noConversion"/>
  </si>
  <si>
    <t>小鸡</t>
    <phoneticPr fontId="3" type="noConversion"/>
  </si>
  <si>
    <t>牛犊</t>
    <phoneticPr fontId="3" type="noConversion"/>
  </si>
  <si>
    <t>小牛</t>
    <phoneticPr fontId="3" type="noConversion"/>
  </si>
  <si>
    <t>羊羔</t>
    <phoneticPr fontId="3" type="noConversion"/>
  </si>
  <si>
    <t>小羊</t>
    <phoneticPr fontId="3" type="noConversion"/>
  </si>
  <si>
    <t>30311005</t>
    <phoneticPr fontId="3" type="noConversion"/>
  </si>
  <si>
    <t>30311003</t>
    <phoneticPr fontId="3" type="noConversion"/>
  </si>
  <si>
    <t>30315003</t>
  </si>
  <si>
    <t>30301002</t>
    <phoneticPr fontId="3" type="noConversion"/>
  </si>
  <si>
    <t>30312002</t>
    <phoneticPr fontId="3" type="noConversion"/>
  </si>
  <si>
    <t>30302001</t>
    <phoneticPr fontId="3" type="noConversion"/>
  </si>
  <si>
    <t>30312004</t>
    <phoneticPr fontId="3" type="noConversion"/>
  </si>
  <si>
    <t>30302002</t>
    <phoneticPr fontId="3" type="noConversion"/>
  </si>
  <si>
    <t>30303002</t>
    <phoneticPr fontId="3" type="noConversion"/>
  </si>
  <si>
    <t>30303004</t>
    <phoneticPr fontId="3" type="noConversion"/>
  </si>
  <si>
    <t>30315002</t>
    <phoneticPr fontId="3" type="noConversion"/>
  </si>
  <si>
    <t>30315012</t>
  </si>
  <si>
    <t>30315004</t>
  </si>
  <si>
    <t>30315006</t>
  </si>
  <si>
    <t>30315007</t>
  </si>
  <si>
    <t>30315008</t>
  </si>
  <si>
    <t>30315010</t>
  </si>
  <si>
    <t>30315014</t>
  </si>
  <si>
    <t>浆果树的苗</t>
    <phoneticPr fontId="3" type="noConversion"/>
  </si>
  <si>
    <t>浆果树的小树</t>
    <phoneticPr fontId="3" type="noConversion"/>
  </si>
  <si>
    <t>还未结果的浆果树</t>
    <phoneticPr fontId="3" type="noConversion"/>
  </si>
  <si>
    <t>莓子树的苗</t>
    <phoneticPr fontId="3" type="noConversion"/>
  </si>
  <si>
    <t>莓子树的小树</t>
    <phoneticPr fontId="3" type="noConversion"/>
  </si>
  <si>
    <t>橡树的苗</t>
    <phoneticPr fontId="3" type="noConversion"/>
  </si>
  <si>
    <t>橡树的小树</t>
    <phoneticPr fontId="3" type="noConversion"/>
  </si>
  <si>
    <t>梧桐树的苗</t>
    <phoneticPr fontId="3" type="noConversion"/>
  </si>
  <si>
    <t>梧桐树的小树</t>
    <phoneticPr fontId="3" type="noConversion"/>
  </si>
  <si>
    <t>还待勘探的矿藏</t>
    <phoneticPr fontId="3" type="noConversion"/>
  </si>
  <si>
    <t>播下的小麦种子</t>
    <phoneticPr fontId="3" type="noConversion"/>
  </si>
  <si>
    <t>小麦的幼苗</t>
    <phoneticPr fontId="3" type="noConversion"/>
  </si>
  <si>
    <t>成长中的小麦</t>
    <phoneticPr fontId="3" type="noConversion"/>
  </si>
  <si>
    <t>即将成熟结果的小麦</t>
    <phoneticPr fontId="3" type="noConversion"/>
  </si>
  <si>
    <t>播下的棉花种子</t>
    <phoneticPr fontId="3" type="noConversion"/>
  </si>
  <si>
    <t>棉花的幼苗</t>
    <phoneticPr fontId="3" type="noConversion"/>
  </si>
  <si>
    <t>成长中的棉花</t>
    <phoneticPr fontId="3" type="noConversion"/>
  </si>
  <si>
    <t>即将成熟结果的棉花</t>
    <phoneticPr fontId="3" type="noConversion"/>
  </si>
  <si>
    <t>鸡的幼崽</t>
    <phoneticPr fontId="3" type="noConversion"/>
  </si>
  <si>
    <t>还未长大的鸡</t>
    <phoneticPr fontId="3" type="noConversion"/>
  </si>
  <si>
    <t>牛的幼崽</t>
    <phoneticPr fontId="3" type="noConversion"/>
  </si>
  <si>
    <t>还未长大的牛</t>
    <phoneticPr fontId="3" type="noConversion"/>
  </si>
  <si>
    <t>羊的幼崽</t>
    <phoneticPr fontId="3" type="noConversion"/>
  </si>
  <si>
    <t>还未长大的羊</t>
    <phoneticPr fontId="3" type="noConversion"/>
  </si>
  <si>
    <t>30311001,30311004</t>
    <phoneticPr fontId="3" type="noConversion"/>
  </si>
  <si>
    <t>30312001,30312003</t>
    <phoneticPr fontId="3" type="noConversion"/>
  </si>
  <si>
    <t>30313001,30313002</t>
    <phoneticPr fontId="3" type="noConversion"/>
  </si>
  <si>
    <t>30315001,30315005</t>
    <phoneticPr fontId="3" type="noConversion"/>
  </si>
  <si>
    <t>30315009,30315011,30315013</t>
    <phoneticPr fontId="3" type="noConversion"/>
  </si>
  <si>
    <t>朝廷补给</t>
    <phoneticPr fontId="3" type="noConversion"/>
  </si>
  <si>
    <t>ChaoTingBuJi</t>
    <phoneticPr fontId="3" type="noConversion"/>
  </si>
  <si>
    <t>朝廷送来的补给物资</t>
    <phoneticPr fontId="3" type="noConversion"/>
  </si>
  <si>
    <t>Prospect</t>
    <phoneticPr fontId="3" type="noConversion"/>
  </si>
  <si>
    <t>Seed</t>
    <phoneticPr fontId="3" type="noConversion"/>
  </si>
  <si>
    <t>Put</t>
    <phoneticPr fontId="3" type="noConversion"/>
  </si>
  <si>
    <t>Watering</t>
    <phoneticPr fontId="3" type="noConversion"/>
  </si>
  <si>
    <t>Weed</t>
    <phoneticPr fontId="3" type="noConversion"/>
  </si>
  <si>
    <t>Catch</t>
    <phoneticPr fontId="3" type="noConversion"/>
  </si>
  <si>
    <t>Feed</t>
    <phoneticPr fontId="3" type="noConversion"/>
  </si>
  <si>
    <t>Butcher</t>
    <phoneticPr fontId="3" type="noConversion"/>
  </si>
  <si>
    <t>Hunt</t>
    <phoneticPr fontId="3" type="noConversion"/>
  </si>
  <si>
    <t>Reap</t>
    <phoneticPr fontId="3" type="noConversion"/>
  </si>
  <si>
    <t>YeCai</t>
    <phoneticPr fontId="3" type="noConversion"/>
  </si>
  <si>
    <t>野外生长的可以采摘使用的菜株</t>
    <phoneticPr fontId="3" type="noConversion"/>
  </si>
  <si>
    <t>野菜苗</t>
    <phoneticPr fontId="3" type="noConversion"/>
  </si>
  <si>
    <t>小野菜</t>
    <phoneticPr fontId="3" type="noConversion"/>
  </si>
  <si>
    <t>JiangGuoShuMiao</t>
    <phoneticPr fontId="3" type="noConversion"/>
  </si>
  <si>
    <t>XiaoJiangGuoShu</t>
    <phoneticPr fontId="3" type="noConversion"/>
  </si>
  <si>
    <t>YeCaiMiao</t>
    <phoneticPr fontId="3" type="noConversion"/>
  </si>
  <si>
    <t>XIaoYeCai</t>
    <phoneticPr fontId="3" type="noConversion"/>
  </si>
  <si>
    <t>XiangShuMiao</t>
    <phoneticPr fontId="3" type="noConversion"/>
  </si>
  <si>
    <t>XiaoXiangShu</t>
    <phoneticPr fontId="3" type="noConversion"/>
  </si>
  <si>
    <t>WuTongShuMiao</t>
    <phoneticPr fontId="3" type="noConversion"/>
  </si>
  <si>
    <t>XiaoWuTongShu</t>
    <phoneticPr fontId="3" type="noConversion"/>
  </si>
  <si>
    <t>WeiZhiKuangZang</t>
    <phoneticPr fontId="3" type="noConversion"/>
  </si>
  <si>
    <t>XiaoMaiZhong</t>
    <phoneticPr fontId="3" type="noConversion"/>
  </si>
  <si>
    <t>XiaoMaiMiao</t>
    <phoneticPr fontId="3" type="noConversion"/>
  </si>
  <si>
    <t>QingGanXiaoMai</t>
    <phoneticPr fontId="3" type="noConversion"/>
  </si>
  <si>
    <t>ChouSuiXiaoMai</t>
    <phoneticPr fontId="3" type="noConversion"/>
  </si>
  <si>
    <t>MianHuaZhong</t>
    <phoneticPr fontId="3" type="noConversion"/>
  </si>
  <si>
    <t>MianHuaMiao</t>
    <phoneticPr fontId="3" type="noConversion"/>
  </si>
  <si>
    <t>LeiQiMianHua</t>
    <phoneticPr fontId="3" type="noConversion"/>
  </si>
  <si>
    <t>HuaLingMianHua</t>
    <phoneticPr fontId="3" type="noConversion"/>
  </si>
  <si>
    <t>JiZi</t>
    <phoneticPr fontId="3" type="noConversion"/>
  </si>
  <si>
    <t>NiuDu</t>
    <phoneticPr fontId="3" type="noConversion"/>
  </si>
  <si>
    <t>XiaoNiu</t>
    <phoneticPr fontId="3" type="noConversion"/>
  </si>
  <si>
    <t>YangGao</t>
    <phoneticPr fontId="3" type="noConversion"/>
  </si>
  <si>
    <t>XiaoYang</t>
    <phoneticPr fontId="3" type="noConversion"/>
  </si>
  <si>
    <t>兔子</t>
  </si>
  <si>
    <t>野鸡</t>
  </si>
  <si>
    <t>小麦</t>
  </si>
  <si>
    <t>棉花</t>
  </si>
  <si>
    <t>鸡</t>
  </si>
  <si>
    <t>杂物箱</t>
  </si>
  <si>
    <t>朝廷补给</t>
  </si>
  <si>
    <t>浆果树·Good</t>
    <phoneticPr fontId="3" type="noConversion"/>
  </si>
  <si>
    <t>浆果树·Great</t>
    <phoneticPr fontId="3" type="noConversion"/>
  </si>
  <si>
    <t>野菜·Good</t>
    <phoneticPr fontId="3" type="noConversion"/>
  </si>
  <si>
    <t>野菜·Great</t>
    <phoneticPr fontId="3" type="noConversion"/>
  </si>
  <si>
    <t>石矿·Good</t>
    <phoneticPr fontId="3" type="noConversion"/>
  </si>
  <si>
    <t>铁矿·Great</t>
    <phoneticPr fontId="3" type="noConversion"/>
  </si>
  <si>
    <t>木材·Good</t>
    <phoneticPr fontId="3" type="noConversion"/>
  </si>
  <si>
    <t>木材·Great</t>
    <phoneticPr fontId="3" type="noConversion"/>
  </si>
  <si>
    <t>石矿·Great</t>
    <phoneticPr fontId="3" type="noConversion"/>
  </si>
  <si>
    <t>铁矿·Good</t>
    <phoneticPr fontId="3" type="noConversion"/>
  </si>
  <si>
    <t>20103002,1,1000</t>
  </si>
  <si>
    <t>20103002,2,1000</t>
  </si>
  <si>
    <t>20104002,2,1000</t>
  </si>
  <si>
    <t>20104002,3,1000</t>
  </si>
  <si>
    <t>20102001,1,1000</t>
  </si>
  <si>
    <t>20102001,2,1000</t>
  </si>
  <si>
    <t>20102002,1,1000</t>
  </si>
  <si>
    <t>20102002,2,1000</t>
  </si>
  <si>
    <t>20102003,1,1000</t>
  </si>
  <si>
    <t>20102003,2,1000</t>
  </si>
  <si>
    <t>20104003,3,1000;20105001,1,1000</t>
  </si>
  <si>
    <t>20104003,2,1000</t>
  </si>
  <si>
    <t>20104004,5,1000</t>
  </si>
  <si>
    <t>20104004,3,1000</t>
  </si>
  <si>
    <t>20104003,5,1000;20105001,3,1000</t>
  </si>
  <si>
    <t>20104003,4,1000;20105001,2,1000</t>
  </si>
  <si>
    <t>20102001,20,1000;20102002,20,1000;20102003,20,1000;20103001,20,1000;20105001,20,1000;20105002,20,1000;20105003,20,1000;</t>
  </si>
  <si>
    <t>20101001,100000,1000;20102001,1000,1000;20102002,1000,1000;20102003,500,1000;20103001,200,1000;20103006,50,1000</t>
  </si>
  <si>
    <t>20201021,800;20201022,200</t>
  </si>
  <si>
    <t>20201023,800;20201024,200</t>
  </si>
  <si>
    <t>20201025,800;20201026,200</t>
  </si>
  <si>
    <t>20201027,800;20201028,200</t>
  </si>
  <si>
    <t>20201029,800;20201030,200</t>
  </si>
  <si>
    <t>20201031,1000</t>
  </si>
  <si>
    <t>20201032,1000</t>
  </si>
  <si>
    <t>20201033,1000</t>
  </si>
  <si>
    <t>20201034,1000</t>
  </si>
  <si>
    <t>20201035,1000</t>
  </si>
  <si>
    <t>20201036,1000</t>
  </si>
  <si>
    <t>20201037,1000</t>
  </si>
  <si>
    <t>20201038,1000</t>
  </si>
  <si>
    <t>20201039,1000</t>
  </si>
  <si>
    <t>Reap</t>
  </si>
  <si>
    <t>Hunt</t>
  </si>
  <si>
    <t>Butcher</t>
  </si>
  <si>
    <t>Seed</t>
  </si>
  <si>
    <t>Put</t>
  </si>
  <si>
    <t>Watering</t>
  </si>
  <si>
    <t>Weed</t>
  </si>
  <si>
    <t>Catch</t>
  </si>
  <si>
    <t>Feed</t>
  </si>
  <si>
    <t>狩猎</t>
    <phoneticPr fontId="3" type="noConversion"/>
  </si>
  <si>
    <t>收割</t>
    <phoneticPr fontId="3" type="noConversion"/>
  </si>
  <si>
    <t>屠宰</t>
    <phoneticPr fontId="3" type="noConversion"/>
  </si>
  <si>
    <t>勘探</t>
    <phoneticPr fontId="3" type="noConversion"/>
  </si>
  <si>
    <t>播种</t>
    <phoneticPr fontId="3" type="noConversion"/>
  </si>
  <si>
    <t>放下</t>
    <phoneticPr fontId="3" type="noConversion"/>
  </si>
  <si>
    <t>浇水</t>
    <phoneticPr fontId="3" type="noConversion"/>
  </si>
  <si>
    <t>除草</t>
    <phoneticPr fontId="3" type="noConversion"/>
  </si>
  <si>
    <t>捉虫</t>
    <phoneticPr fontId="3" type="noConversion"/>
  </si>
  <si>
    <t>喂养</t>
    <phoneticPr fontId="3" type="noConversion"/>
  </si>
  <si>
    <t>放下负载内容，或持有内容</t>
    <phoneticPr fontId="3" type="noConversion"/>
  </si>
  <si>
    <t>1,-4,0;2,-4,0;3,-3,100;4,1,300</t>
  </si>
  <si>
    <t>20100013,1,0</t>
  </si>
  <si>
    <t>狩猎猎物获得食物和材料</t>
    <phoneticPr fontId="3" type="noConversion"/>
  </si>
  <si>
    <t>镰刀收割农作物</t>
    <phoneticPr fontId="3" type="noConversion"/>
  </si>
  <si>
    <t>屠宰动物</t>
    <phoneticPr fontId="3" type="noConversion"/>
  </si>
  <si>
    <t>勘探矿藏</t>
    <phoneticPr fontId="3" type="noConversion"/>
  </si>
  <si>
    <t>农作物播种</t>
    <phoneticPr fontId="3" type="noConversion"/>
  </si>
  <si>
    <t>手持水壶浇水</t>
    <phoneticPr fontId="3" type="noConversion"/>
  </si>
  <si>
    <t>锄头除草</t>
    <phoneticPr fontId="3" type="noConversion"/>
  </si>
  <si>
    <t>杀虫剂杀虫</t>
    <phoneticPr fontId="3" type="noConversion"/>
  </si>
  <si>
    <t>饲料喂食动物</t>
    <phoneticPr fontId="3" type="noConversion"/>
  </si>
  <si>
    <t>Calendar.month</t>
    <phoneticPr fontId="3" type="noConversion"/>
  </si>
  <si>
    <t>Calendar.day</t>
    <phoneticPr fontId="3" type="noConversion"/>
  </si>
  <si>
    <t>正月</t>
    <phoneticPr fontId="3" type="noConversion"/>
  </si>
  <si>
    <t>二月</t>
    <phoneticPr fontId="3" type="noConversion"/>
  </si>
  <si>
    <t>三月</t>
    <phoneticPr fontId="3" type="noConversion"/>
  </si>
  <si>
    <t>四月</t>
    <phoneticPr fontId="3" type="noConversion"/>
  </si>
  <si>
    <t>五月</t>
    <phoneticPr fontId="3" type="noConversion"/>
  </si>
  <si>
    <t>六月</t>
    <phoneticPr fontId="3" type="noConversion"/>
  </si>
  <si>
    <t>七月</t>
    <phoneticPr fontId="3" type="noConversion"/>
  </si>
  <si>
    <t>八月</t>
    <phoneticPr fontId="3" type="noConversion"/>
  </si>
  <si>
    <t>九月</t>
    <phoneticPr fontId="3" type="noConversion"/>
  </si>
  <si>
    <t>十月</t>
    <phoneticPr fontId="3" type="noConversion"/>
  </si>
  <si>
    <t>冬月</t>
    <phoneticPr fontId="3" type="noConversion"/>
  </si>
  <si>
    <t>腊月</t>
    <phoneticPr fontId="3" type="noConversion"/>
  </si>
  <si>
    <t>初一</t>
    <phoneticPr fontId="3" type="noConversion"/>
  </si>
  <si>
    <t>初二</t>
    <phoneticPr fontId="3" type="noConversion"/>
  </si>
  <si>
    <t>初三</t>
    <phoneticPr fontId="3" type="noConversion"/>
  </si>
  <si>
    <t>初四</t>
    <phoneticPr fontId="3" type="noConversion"/>
  </si>
  <si>
    <t>初五</t>
    <phoneticPr fontId="3" type="noConversion"/>
  </si>
  <si>
    <t>初六</t>
    <phoneticPr fontId="3" type="noConversion"/>
  </si>
  <si>
    <t>初七</t>
    <phoneticPr fontId="3" type="noConversion"/>
  </si>
  <si>
    <t>初八</t>
    <phoneticPr fontId="3" type="noConversion"/>
  </si>
  <si>
    <t>初九</t>
    <phoneticPr fontId="3" type="noConversion"/>
  </si>
  <si>
    <t>初十</t>
    <phoneticPr fontId="3" type="noConversion"/>
  </si>
  <si>
    <t>十一</t>
    <phoneticPr fontId="3" type="noConversion"/>
  </si>
  <si>
    <t>十二</t>
    <phoneticPr fontId="3" type="noConversion"/>
  </si>
  <si>
    <t>十三</t>
    <phoneticPr fontId="3" type="noConversion"/>
  </si>
  <si>
    <t>十四</t>
    <phoneticPr fontId="3" type="noConversion"/>
  </si>
  <si>
    <t>十五</t>
    <phoneticPr fontId="3" type="noConversion"/>
  </si>
  <si>
    <t>十六</t>
    <phoneticPr fontId="3" type="noConversion"/>
  </si>
  <si>
    <t>十七</t>
    <phoneticPr fontId="3" type="noConversion"/>
  </si>
  <si>
    <t>十八</t>
    <phoneticPr fontId="3" type="noConversion"/>
  </si>
  <si>
    <t>十九</t>
    <phoneticPr fontId="3" type="noConversion"/>
  </si>
  <si>
    <t>二十</t>
    <phoneticPr fontId="3" type="noConversion"/>
  </si>
  <si>
    <t>廿一</t>
    <phoneticPr fontId="3" type="noConversion"/>
  </si>
  <si>
    <t>廿二</t>
    <phoneticPr fontId="3" type="noConversion"/>
  </si>
  <si>
    <t>廿三</t>
    <phoneticPr fontId="3" type="noConversion"/>
  </si>
  <si>
    <t>廿四</t>
    <phoneticPr fontId="3" type="noConversion"/>
  </si>
  <si>
    <t>廿五</t>
    <phoneticPr fontId="3" type="noConversion"/>
  </si>
  <si>
    <t>廿六</t>
    <phoneticPr fontId="3" type="noConversion"/>
  </si>
  <si>
    <t>廿七</t>
    <phoneticPr fontId="3" type="noConversion"/>
  </si>
  <si>
    <t>廿八</t>
    <phoneticPr fontId="3" type="noConversion"/>
  </si>
  <si>
    <t>廿九</t>
    <phoneticPr fontId="3" type="noConversion"/>
  </si>
  <si>
    <t>三十</t>
    <phoneticPr fontId="3" type="noConversion"/>
  </si>
  <si>
    <t>Spring</t>
    <phoneticPr fontId="3" type="noConversion"/>
  </si>
  <si>
    <t>Summer</t>
    <phoneticPr fontId="3" type="noConversion"/>
  </si>
  <si>
    <t>Fall</t>
    <phoneticPr fontId="3" type="noConversion"/>
  </si>
  <si>
    <t>Winter</t>
    <phoneticPr fontId="3" type="noConversion"/>
  </si>
  <si>
    <t>1,200</t>
    <phoneticPr fontId="3" type="noConversion"/>
  </si>
  <si>
    <t>1,200;2,100</t>
    <phoneticPr fontId="3" type="noConversion"/>
  </si>
  <si>
    <t>1,-100;2,200;3,100</t>
    <phoneticPr fontId="3" type="noConversion"/>
  </si>
  <si>
    <t>2,100</t>
    <phoneticPr fontId="3" type="noConversion"/>
  </si>
  <si>
    <t>2,200</t>
    <phoneticPr fontId="3" type="noConversion"/>
  </si>
  <si>
    <t>1,100;2,100;3,100</t>
    <phoneticPr fontId="3" type="noConversion"/>
  </si>
  <si>
    <t>1,100;2,100</t>
    <phoneticPr fontId="3" type="noConversion"/>
  </si>
  <si>
    <t>1,100;2,200;3,100</t>
    <phoneticPr fontId="3" type="noConversion"/>
  </si>
  <si>
    <t>1,300;2,100</t>
    <phoneticPr fontId="3" type="noConversion"/>
  </si>
  <si>
    <t>1,200;2,200;3,100</t>
    <phoneticPr fontId="3" type="noConversion"/>
  </si>
  <si>
    <t>1,300;2,300;3,200;4,100</t>
    <phoneticPr fontId="3" type="noConversion"/>
  </si>
  <si>
    <t>1,200;2,400;3,300;4,200</t>
    <phoneticPr fontId="3" type="noConversion"/>
  </si>
  <si>
    <t>1,200;2,500;3,400;4,300</t>
    <phoneticPr fontId="3" type="noConversion"/>
  </si>
  <si>
    <t>1,100;2,300;3,200;4,100</t>
    <phoneticPr fontId="3" type="noConversion"/>
  </si>
  <si>
    <t>1,300;2,300;3,200;4,200</t>
    <phoneticPr fontId="3" type="noConversion"/>
  </si>
  <si>
    <t>1,300;2,400;3,300;4,200</t>
    <phoneticPr fontId="3" type="noConversion"/>
  </si>
  <si>
    <t>1,400;2,200;3,100;4,200</t>
    <phoneticPr fontId="3" type="noConversion"/>
  </si>
  <si>
    <t>1,400;2,400;3,300;4,200</t>
    <phoneticPr fontId="3" type="noConversion"/>
  </si>
  <si>
    <t>pleb_load_settings</t>
    <phoneticPr fontId="3" type="noConversion"/>
  </si>
  <si>
    <t>pleb_speed_settings</t>
  </si>
  <si>
    <t>["base:int","coe:int","ability:int"]</t>
    <phoneticPr fontId="3" type="noConversion"/>
  </si>
  <si>
    <t>20,200,1</t>
    <phoneticPr fontId="3" type="noConversion"/>
  </si>
  <si>
    <t>4,50,2</t>
    <phoneticPr fontId="3" type="noConversion"/>
  </si>
  <si>
    <t>平民负重设置：基础负重、成长系数、关联能力</t>
    <phoneticPr fontId="3" type="noConversion"/>
  </si>
  <si>
    <t>平民速度设置：基础速度、成长系数、关联能力</t>
    <phoneticPr fontId="3" type="noConversion"/>
  </si>
  <si>
    <t>力量-2 食物需求-200 饱腹下降速度-10%</t>
    <phoneticPr fontId="3" type="noConversion"/>
  </si>
  <si>
    <t>魅力+3 卫生需求+200</t>
    <phoneticPr fontId="3" type="noConversion"/>
  </si>
  <si>
    <t>食物需求+300</t>
    <phoneticPr fontId="3" type="noConversion"/>
  </si>
  <si>
    <t>$</t>
    <phoneticPr fontId="3" type="noConversion"/>
  </si>
  <si>
    <t>role_work_speed_coe</t>
    <phoneticPr fontId="3" type="noConversion"/>
  </si>
  <si>
    <t>角色工作速度系数</t>
    <phoneticPr fontId="3" type="noConversion"/>
  </si>
  <si>
    <t>int</t>
    <phoneticPr fontId="3" type="noConversion"/>
  </si>
  <si>
    <t>20</t>
    <phoneticPr fontId="3" type="noConversion"/>
  </si>
  <si>
    <t>role_work_drop_weight_fix_power</t>
    <phoneticPr fontId="3" type="noConversion"/>
  </si>
  <si>
    <t>角色工作掉落权重修正指数</t>
    <phoneticPr fontId="3" type="noConversion"/>
  </si>
  <si>
    <t>1200</t>
    <phoneticPr fontId="3" type="noConversion"/>
  </si>
  <si>
    <t>role_build_progress_settings</t>
    <phoneticPr fontId="3" type="noConversion"/>
  </si>
  <si>
    <t>["base:int","coe:int","duration_sec:int"]</t>
    <phoneticPr fontId="3" type="noConversion"/>
  </si>
  <si>
    <t>角色建造进度设置：基础进度、提升系数、计算间隔</t>
    <phoneticPr fontId="3" type="noConversion"/>
  </si>
  <si>
    <t>100,20,2</t>
    <phoneticPr fontId="3" type="noConversion"/>
  </si>
  <si>
    <t>house_daily_cost_durabilty_coe</t>
    <phoneticPr fontId="3" type="noConversion"/>
  </si>
  <si>
    <t>200</t>
    <phoneticPr fontId="3" type="noConversion"/>
  </si>
  <si>
    <t>建筑维护费用耐久系数</t>
    <phoneticPr fontId="3" type="noConversion"/>
  </si>
  <si>
    <t>PickTarget;30309001,30309002</t>
    <phoneticPr fontId="3" type="noConversion"/>
  </si>
  <si>
    <t>PluckTarget;30301001,30301002</t>
    <phoneticPr fontId="3" type="noConversion"/>
  </si>
  <si>
    <t>HewTarget;30302001|HewTarget;30302002</t>
    <phoneticPr fontId="3" type="noConversion"/>
  </si>
  <si>
    <t>PickaxeTarget;30303001,30303002|PickaxeTarget;30303003</t>
    <phoneticPr fontId="3" type="noConversion"/>
  </si>
  <si>
    <t>PickaxeTarget;30303004|PickaxeTarget;30303005|PickaxeTarget;30303006</t>
    <phoneticPr fontId="3" type="noConversion"/>
  </si>
  <si>
    <t>HuntTarget;30304001,30304002</t>
    <phoneticPr fontId="3" type="noConversion"/>
  </si>
  <si>
    <t>GrowPart;30315001|GrowPart:30315005</t>
    <phoneticPr fontId="3" type="noConversion"/>
  </si>
  <si>
    <t>GrowPart;30315009|GrowPart:303150011,303150013</t>
    <phoneticPr fontId="3" type="noConversion"/>
  </si>
  <si>
    <t>XianYa</t>
    <phoneticPr fontId="3" type="noConversion"/>
  </si>
  <si>
    <t>TongQian</t>
    <phoneticPr fontId="3" type="noConversion"/>
  </si>
  <si>
    <t>ZhengLing</t>
    <phoneticPr fontId="3" type="noConversion"/>
  </si>
  <si>
    <t>HuBing</t>
    <phoneticPr fontId="3" type="noConversion"/>
  </si>
  <si>
    <t>JiangGuo</t>
    <phoneticPr fontId="3" type="noConversion"/>
  </si>
  <si>
    <t>ZaGuoLao</t>
    <phoneticPr fontId="3" type="noConversion"/>
  </si>
  <si>
    <t>ZaCaiTang</t>
    <phoneticPr fontId="3" type="noConversion"/>
  </si>
  <si>
    <t>RouGeng</t>
    <phoneticPr fontId="3" type="noConversion"/>
  </si>
  <si>
    <t>ZhiRou</t>
    <phoneticPr fontId="3" type="noConversion"/>
  </si>
  <si>
    <t>GuoJiu</t>
    <phoneticPr fontId="3" type="noConversion"/>
  </si>
  <si>
    <t>MuJiu</t>
    <phoneticPr fontId="3" type="noConversion"/>
  </si>
  <si>
    <t>Shui</t>
    <phoneticPr fontId="3" type="noConversion"/>
  </si>
  <si>
    <t>ShengRou</t>
    <phoneticPr fontId="3" type="noConversion"/>
  </si>
  <si>
    <t>DaoMi</t>
    <phoneticPr fontId="3" type="noConversion"/>
  </si>
  <si>
    <t>MianFen</t>
    <phoneticPr fontId="3" type="noConversion"/>
  </si>
  <si>
    <t>PiGe</t>
    <phoneticPr fontId="3" type="noConversion"/>
  </si>
  <si>
    <t>BuLiao</t>
    <phoneticPr fontId="3" type="noConversion"/>
  </si>
  <si>
    <t>MuLiaoXiang</t>
    <phoneticPr fontId="3" type="noConversion"/>
  </si>
  <si>
    <t>ShiLiaoXiang</t>
    <phoneticPr fontId="3" type="noConversion"/>
  </si>
  <si>
    <t>XinShouZiYuanBao</t>
    <phoneticPr fontId="3" type="noConversion"/>
  </si>
  <si>
    <t>FenSiChouXieBao</t>
    <phoneticPr fontId="3" type="noConversion"/>
  </si>
  <si>
    <t>PiYi</t>
    <phoneticPr fontId="3" type="noConversion"/>
  </si>
  <si>
    <t>MianXie</t>
    <phoneticPr fontId="3" type="noConversion"/>
  </si>
  <si>
    <t>XianJing</t>
    <phoneticPr fontId="3" type="noConversion"/>
  </si>
  <si>
    <t>JiNianBei</t>
    <phoneticPr fontId="3" type="noConversion"/>
  </si>
  <si>
    <t>QiTa</t>
    <phoneticPr fontId="3" type="noConversion"/>
  </si>
  <si>
    <t>remove_mode</t>
  </si>
  <si>
    <t>拆除模式</t>
  </si>
  <si>
    <t>建筑物拆除模式枚举：0/null=可拆除(默认)，1=可拆除至仅剩一个，2=不可拆除</t>
  </si>
  <si>
    <t>1,1000;2,1000;3,1000;4,1000</t>
    <phoneticPr fontId="3" type="noConversion"/>
  </si>
  <si>
    <t>1,1000;2,1000</t>
    <phoneticPr fontId="3" type="noConversion"/>
  </si>
  <si>
    <t>1,1000;3,1000</t>
    <phoneticPr fontId="3" type="noConversion"/>
  </si>
  <si>
    <t>2,1000;3,1000</t>
    <phoneticPr fontId="3" type="noConversion"/>
  </si>
  <si>
    <t>3,1000;4,1000</t>
    <phoneticPr fontId="3" type="noConversion"/>
  </si>
  <si>
    <t>2,800;3,1000;4,200</t>
    <phoneticPr fontId="3" type="noConversion"/>
  </si>
  <si>
    <t>1,800;2,500;3,500;4,200</t>
    <phoneticPr fontId="3" type="noConversion"/>
  </si>
  <si>
    <t>1,1000;3,300;4,700</t>
    <phoneticPr fontId="3" type="noConversion"/>
  </si>
  <si>
    <t>2,500;3,1000;4,500</t>
    <phoneticPr fontId="3" type="noConversion"/>
  </si>
  <si>
    <t>1,200;2,500;3,300;4,1000</t>
    <phoneticPr fontId="3" type="noConversion"/>
  </si>
  <si>
    <t>1,500;2,300;3,200;4,1000</t>
    <phoneticPr fontId="3" type="noConversion"/>
  </si>
  <si>
    <t>5,400;6,300;7,800;8,1000</t>
    <phoneticPr fontId="3" type="noConversion"/>
  </si>
  <si>
    <t>5,300;6,500;7,1000;8,700</t>
    <phoneticPr fontId="3" type="noConversion"/>
  </si>
  <si>
    <t>5,700;6,800;7,500;8,500</t>
    <phoneticPr fontId="3" type="noConversion"/>
  </si>
  <si>
    <t>5,900;6,800;7,500;8,300</t>
    <phoneticPr fontId="3" type="noConversion"/>
  </si>
  <si>
    <t>array["item:int","cnt:int"]</t>
    <phoneticPr fontId="3" type="noConversion"/>
  </si>
  <si>
    <t>initial_item_list</t>
    <phoneticPr fontId="3" type="noConversion"/>
  </si>
  <si>
    <t>initial_role_list</t>
    <phoneticPr fontId="3" type="noConversion"/>
  </si>
  <si>
    <t>初始物品列表</t>
    <phoneticPr fontId="3" type="noConversion"/>
  </si>
  <si>
    <t>intarray</t>
    <phoneticPr fontId="3" type="noConversion"/>
  </si>
  <si>
    <t>初始(特殊)角色列表</t>
    <phoneticPr fontId="3" type="noConversion"/>
  </si>
  <si>
    <t>10202001</t>
    <phoneticPr fontId="3" type="noConversion"/>
  </si>
  <si>
    <t>20101001,150000;20102001,1500;20102002,1500;20102003,500;20103001,50;20103002,50</t>
    <phoneticPr fontId="3" type="noConversion"/>
  </si>
  <si>
    <t>CaiShiGong</t>
    <phoneticPr fontId="3" type="noConversion"/>
  </si>
  <si>
    <t>1;20,30,40</t>
    <phoneticPr fontId="3" type="noConversion"/>
  </si>
  <si>
    <t>EatFloor</t>
    <phoneticPr fontId="3" type="noConversion"/>
  </si>
  <si>
    <t>坐在地上进食</t>
    <phoneticPr fontId="3" type="noConversion"/>
  </si>
  <si>
    <t>1,-1,0;2,20,1000;4,-1,200</t>
    <phoneticPr fontId="3" type="noConversion"/>
  </si>
  <si>
    <t>平平无奇</t>
    <phoneticPr fontId="3" type="noConversion"/>
  </si>
  <si>
    <t>这是一个毫无特点的路人</t>
    <phoneticPr fontId="3" type="noConversion"/>
  </si>
  <si>
    <t>pleb_random_tag_none</t>
    <phoneticPr fontId="3" type="noConversion"/>
  </si>
  <si>
    <t>12010001</t>
    <phoneticPr fontId="3" type="noConversion"/>
  </si>
  <si>
    <t>平民随机标签为空时默认标签</t>
    <phoneticPr fontId="3" type="noConversion"/>
  </si>
  <si>
    <t>item_price_range</t>
    <phoneticPr fontId="3" type="noConversion"/>
  </si>
  <si>
    <t>物价</t>
    <phoneticPr fontId="3" type="noConversion"/>
  </si>
  <si>
    <t>["min:int","max:int","bar:int"]</t>
    <phoneticPr fontId="3" type="noConversion"/>
  </si>
  <si>
    <t>500,2000,100</t>
    <phoneticPr fontId="3" type="noConversion"/>
  </si>
  <si>
    <t>物品价格范围：最低、最高、单档（千分数）</t>
    <phoneticPr fontId="3" type="noConversion"/>
  </si>
  <si>
    <t>WuJia</t>
    <phoneticPr fontId="3" type="noConversion"/>
  </si>
  <si>
    <t>价</t>
    <phoneticPr fontId="3" type="noConversion"/>
  </si>
  <si>
    <t>消费物价</t>
    <phoneticPr fontId="3" type="noConversion"/>
  </si>
  <si>
    <t>物价低廉</t>
    <phoneticPr fontId="3" type="noConversion"/>
  </si>
  <si>
    <t>物价昂贵</t>
    <phoneticPr fontId="3" type="noConversion"/>
  </si>
  <si>
    <t>物价低廉</t>
    <phoneticPr fontId="3" type="noConversion"/>
  </si>
  <si>
    <t>9,1,5</t>
    <phoneticPr fontId="3" type="noConversion"/>
  </si>
  <si>
    <t>19,-1,-5</t>
    <phoneticPr fontId="3" type="noConversion"/>
  </si>
  <si>
    <t>物价高涨</t>
    <phoneticPr fontId="3" type="noConversion"/>
  </si>
  <si>
    <t>物价昂贵</t>
    <phoneticPr fontId="3" type="noConversion"/>
  </si>
  <si>
    <t>商品提供价格很低</t>
    <phoneticPr fontId="3" type="noConversion"/>
  </si>
  <si>
    <t>商品价格较高</t>
    <phoneticPr fontId="3" type="noConversion"/>
  </si>
  <si>
    <t>商品价格太高了</t>
    <phoneticPr fontId="3" type="noConversion"/>
  </si>
  <si>
    <t>幸福度-5</t>
    <phoneticPr fontId="3" type="noConversion"/>
  </si>
  <si>
    <t>Chapter</t>
    <phoneticPr fontId="3" type="noConversion"/>
  </si>
  <si>
    <t>Task</t>
    <phoneticPr fontId="3" type="noConversion"/>
  </si>
  <si>
    <t>GameEvent</t>
    <phoneticPr fontId="3" type="noConversion"/>
  </si>
  <si>
    <t>400xxxxx</t>
    <phoneticPr fontId="3" type="noConversion"/>
  </si>
  <si>
    <t>401xxxxx</t>
    <phoneticPr fontId="3" type="noConversion"/>
  </si>
  <si>
    <t>402xxxxx</t>
    <phoneticPr fontId="3" type="noConversion"/>
  </si>
  <si>
    <t>章节编号</t>
  </si>
  <si>
    <t>章节标题</t>
  </si>
  <si>
    <t>章节名称</t>
  </si>
  <si>
    <t>章节描述</t>
  </si>
  <si>
    <t>8位数字编号，400xxxxx，纯流水编号</t>
  </si>
  <si>
    <t>章节资源ResName标识，关联章节插图、动画等</t>
  </si>
  <si>
    <t>章节标题文本，4个字符内，中文章回序号（序章/初章/……）</t>
  </si>
  <si>
    <t>章节名称文本，6个字符内</t>
  </si>
  <si>
    <t>章节描述文本，40个字符内</t>
  </si>
  <si>
    <t>序章</t>
    <phoneticPr fontId="3" type="noConversion"/>
  </si>
  <si>
    <t>初章</t>
    <phoneticPr fontId="3" type="noConversion"/>
  </si>
  <si>
    <t>贰章</t>
    <phoneticPr fontId="3" type="noConversion"/>
  </si>
  <si>
    <t>Chapter00</t>
    <phoneticPr fontId="3" type="noConversion"/>
  </si>
  <si>
    <t>Chapter01</t>
    <phoneticPr fontId="3" type="noConversion"/>
  </si>
  <si>
    <t>Chapter02</t>
    <phoneticPr fontId="3" type="noConversion"/>
  </si>
  <si>
    <t>长安疑云</t>
    <phoneticPr fontId="3" type="noConversion"/>
  </si>
  <si>
    <t>初来乍到</t>
    <phoneticPr fontId="3" type="noConversion"/>
  </si>
  <si>
    <t>迷雾重重</t>
    <phoneticPr fontId="3" type="noConversion"/>
  </si>
  <si>
    <t>长安日蚀大案，女帝震怒，狄仁杰下狱……</t>
    <phoneticPr fontId="3" type="noConversion"/>
  </si>
  <si>
    <t>被贬永宁县丞，代掌县令事，面对荒废已久的县务……</t>
    <phoneticPr fontId="3" type="noConversion"/>
  </si>
  <si>
    <t>永宁小县，发生的离奇案件，隐隐中似乎与长安日蚀大案有所关联……</t>
    <phoneticPr fontId="3" type="noConversion"/>
  </si>
  <si>
    <t>rank</t>
  </si>
  <si>
    <t>trigger_list</t>
  </si>
  <si>
    <t>goal_list</t>
  </si>
  <si>
    <t>enable_duration_sec</t>
  </si>
  <si>
    <t>handle_duration_sec</t>
  </si>
  <si>
    <t>accept_story</t>
  </si>
  <si>
    <t>delivery_story</t>
  </si>
  <si>
    <t>reward_list</t>
  </si>
  <si>
    <t>chapter_cut</t>
  </si>
  <si>
    <t>任务编号</t>
  </si>
  <si>
    <t>任务类型</t>
  </si>
  <si>
    <t>任务分组</t>
  </si>
  <si>
    <t>任务等级</t>
  </si>
  <si>
    <t>任务名称</t>
  </si>
  <si>
    <t>任务描述</t>
  </si>
  <si>
    <t>触发条件</t>
  </si>
  <si>
    <t>任务目标</t>
  </si>
  <si>
    <t>可用时间</t>
  </si>
  <si>
    <t>执行时间</t>
  </si>
  <si>
    <t>领取剧情</t>
  </si>
  <si>
    <t>交付剧情</t>
  </si>
  <si>
    <t>任务奖励</t>
  </si>
  <si>
    <t>章节过场</t>
  </si>
  <si>
    <t>8位数字编号，401xxyyy，xx=type，yyy=纯流水编号</t>
  </si>
  <si>
    <t>任务资源ResName标识，关联任务图标、插图等</t>
  </si>
  <si>
    <t>任务强度标识，展示用，体现任务等级、品质、难度等</t>
  </si>
  <si>
    <t>任务名称文本，6个字符内</t>
  </si>
  <si>
    <t>任务描述文本，20个字符内</t>
  </si>
  <si>
    <t>任务触发条件集，及其对应条件参数，= triggerName(param,…);…，多项条件and关系</t>
  </si>
  <si>
    <t>任务触发后，可以进行领取的限时，单位：秒s</t>
  </si>
  <si>
    <t>任务领取后，执行完成任务的限时，单位：秒s</t>
  </si>
  <si>
    <t>任务领取时，播放的剧情编号（或标识string）</t>
  </si>
  <si>
    <t>任务交付时，播放的剧情编号（或标识string）</t>
  </si>
  <si>
    <t>任务交付完成，获得的物品奖励内容</t>
  </si>
  <si>
    <t>任务交付完成，播放的章节过场动画</t>
  </si>
  <si>
    <t>food_make_state</t>
    <phoneticPr fontId="3" type="noConversion"/>
  </si>
  <si>
    <t>准备食材</t>
    <phoneticPr fontId="3" type="noConversion"/>
  </si>
  <si>
    <t>烹饪中</t>
    <phoneticPr fontId="3" type="noConversion"/>
  </si>
  <si>
    <t>销售中</t>
    <phoneticPr fontId="3" type="noConversion"/>
  </si>
  <si>
    <t>!</t>
    <phoneticPr fontId="3" type="noConversion"/>
  </si>
  <si>
    <t>array["actor:string","role:int","position:string"]</t>
  </si>
  <si>
    <t>trigger</t>
  </si>
  <si>
    <t>extra_condition</t>
  </si>
  <si>
    <t>trigger_delay_sec</t>
  </si>
  <si>
    <t>perform</t>
  </si>
  <si>
    <t>actor_list</t>
  </si>
  <si>
    <t>事件编号</t>
  </si>
  <si>
    <t>事件类型</t>
  </si>
  <si>
    <t>事件分组</t>
  </si>
  <si>
    <t>事件名称</t>
  </si>
  <si>
    <t>事件描述</t>
  </si>
  <si>
    <t>主触发器</t>
  </si>
  <si>
    <t>额外条件</t>
  </si>
  <si>
    <t>触发延迟</t>
  </si>
  <si>
    <t>事件演出</t>
  </si>
  <si>
    <t>演员列表</t>
  </si>
  <si>
    <t>奖励列表</t>
  </si>
  <si>
    <t>8位数字编号，402xxyyy，xx=type，yyy=纯流水编号</t>
  </si>
  <si>
    <t>事件资源ResName标识，关联事件图标、插图等</t>
  </si>
  <si>
    <t>事件名称文本，6个字符内</t>
  </si>
  <si>
    <t>事件描述文本，20个字符内</t>
  </si>
  <si>
    <t>事件触发所需满足的其他条件，及其对应条件参数，= conditionName(param,…);…，多项条件and关系</t>
  </si>
  <si>
    <t>事件触发判定后，实际触发表现的延迟时间范围，单位：秒s</t>
  </si>
  <si>
    <t>事件演出关联的DialogueTree配置标识</t>
  </si>
  <si>
    <t>事件演出临时演员列表，包括：演员标识、角色编号、出场位置</t>
  </si>
  <si>
    <t>事件结果关联的奖励，可设置多组对应分支结果，每组为多项物品id及数量</t>
  </si>
  <si>
    <t>熟悉基本操作</t>
    <phoneticPr fontId="3" type="noConversion"/>
  </si>
  <si>
    <t>熟悉游戏中基本的操作内容</t>
    <phoneticPr fontId="3" type="noConversion"/>
  </si>
  <si>
    <t>preTask(40101001)</t>
    <phoneticPr fontId="3" type="noConversion"/>
  </si>
  <si>
    <t>preTask(40101002)</t>
  </si>
  <si>
    <t>preTask(40101003)</t>
  </si>
  <si>
    <t>preTask(40101004)</t>
  </si>
  <si>
    <t>houseLevel(31101001,1,3)</t>
    <phoneticPr fontId="3" type="noConversion"/>
  </si>
  <si>
    <t>houseLevel(31101001,2,)</t>
    <phoneticPr fontId="3" type="noConversion"/>
  </si>
  <si>
    <t>skip</t>
    <phoneticPr fontId="3" type="noConversion"/>
  </si>
  <si>
    <t>条件说明</t>
    <phoneticPr fontId="3" type="noConversion"/>
  </si>
  <si>
    <t>前置任务40101001完成</t>
    <phoneticPr fontId="3" type="noConversion"/>
  </si>
  <si>
    <t>前置任务40101002完成</t>
  </si>
  <si>
    <t>前置任务40101003完成</t>
  </si>
  <si>
    <t>前置任务40101004完成</t>
  </si>
  <si>
    <t>建筑31101001等级&gt;=2</t>
    <phoneticPr fontId="3" type="noConversion"/>
  </si>
  <si>
    <t>建筑31101001等级&gt;=1且&lt;=3</t>
    <phoneticPr fontId="3" type="noConversion"/>
  </si>
  <si>
    <t>目标说明</t>
    <phoneticPr fontId="3" type="noConversion"/>
  </si>
  <si>
    <t>1001=WASD操作，1002=QE操作，1003=滚轮操作</t>
    <phoneticPr fontId="3" type="noConversion"/>
  </si>
  <si>
    <t>array["type:int","target:int","bar:int","cnt:int"]</t>
  </si>
  <si>
    <t>任务完成目标集，包括目标类型、对象、标杆及其计数要求，多项目标and关系</t>
  </si>
  <si>
    <t>1001,0,0,1;1002,0,0,1;1003,0,0,1</t>
    <phoneticPr fontId="3" type="noConversion"/>
  </si>
  <si>
    <t>4001,31101001,0,1</t>
    <phoneticPr fontId="3" type="noConversion"/>
  </si>
  <si>
    <t>整修建筑工坊</t>
    <phoneticPr fontId="3" type="noConversion"/>
  </si>
  <si>
    <t>工欲善其事，必先利其器</t>
    <phoneticPr fontId="3" type="noConversion"/>
  </si>
  <si>
    <t>深挖洞，广积粮，缓称王</t>
    <phoneticPr fontId="3" type="noConversion"/>
  </si>
  <si>
    <t>居者有其屋</t>
    <phoneticPr fontId="3" type="noConversion"/>
  </si>
  <si>
    <t>安居方能乐业，房住不炒</t>
    <phoneticPr fontId="3" type="noConversion"/>
  </si>
  <si>
    <t>采摘工</t>
    <phoneticPr fontId="3" type="noConversion"/>
  </si>
  <si>
    <t>4002,31104001,0,1;1012,11,0,1</t>
    <phoneticPr fontId="3" type="noConversion"/>
  </si>
  <si>
    <t>保境安民，责无旁贷</t>
    <phoneticPr fontId="3" type="noConversion"/>
  </si>
  <si>
    <t>筹措物资</t>
    <phoneticPr fontId="3" type="noConversion"/>
  </si>
  <si>
    <t>手里有粮，心里不慌</t>
    <phoneticPr fontId="3" type="noConversion"/>
  </si>
  <si>
    <t>2,4</t>
    <phoneticPr fontId="3" type="noConversion"/>
  </si>
  <si>
    <t>平民职业数量范围：最小、最大</t>
    <phoneticPr fontId="3" type="noConversion"/>
  </si>
  <si>
    <t>角色类型枚举，0=领主Load，1=普通Pleb，2=特殊Gentry，3=NPC</t>
    <phoneticPr fontId="3" type="noConversion"/>
  </si>
  <si>
    <t>10101001,10101002</t>
    <phoneticPr fontId="3" type="noConversion"/>
  </si>
  <si>
    <t>game_day_seconds</t>
    <phoneticPr fontId="3" type="noConversion"/>
  </si>
  <si>
    <t>120</t>
    <phoneticPr fontId="3" type="noConversion"/>
  </si>
  <si>
    <t>int</t>
    <phoneticPr fontId="3" type="noConversion"/>
  </si>
  <si>
    <t>游戏中一天对应真实时间，单位：秒sec</t>
    <phoneticPr fontId="3" type="noConversion"/>
  </si>
  <si>
    <t>行为树直接配置</t>
    <phoneticPr fontId="3" type="noConversion"/>
  </si>
  <si>
    <t>收拢灾民</t>
    <phoneticPr fontId="3" type="noConversion"/>
  </si>
  <si>
    <t>4001=修复建筑</t>
    <phoneticPr fontId="3" type="noConversion"/>
  </si>
  <si>
    <t>4001=修复建筑，1011=分派工人</t>
    <phoneticPr fontId="3" type="noConversion"/>
  </si>
  <si>
    <t>4002=建造建筑，1011=分派工人</t>
    <phoneticPr fontId="3" type="noConversion"/>
  </si>
  <si>
    <t>4002=建造建筑，1012=分配住宅</t>
    <phoneticPr fontId="3" type="noConversion"/>
  </si>
  <si>
    <t>1021=收留游民</t>
    <phoneticPr fontId="3" type="noConversion"/>
  </si>
  <si>
    <t>3002=物品按类型计数</t>
    <phoneticPr fontId="3" type="noConversion"/>
  </si>
  <si>
    <t>3011,20101001,0,20000</t>
    <phoneticPr fontId="3" type="noConversion"/>
  </si>
  <si>
    <t>3012,3,0,300</t>
    <phoneticPr fontId="3" type="noConversion"/>
  </si>
  <si>
    <t>3011=交付ID物品</t>
    <phoneticPr fontId="3" type="noConversion"/>
  </si>
  <si>
    <t>3012=交付类型物品</t>
    <phoneticPr fontId="3" type="noConversion"/>
  </si>
  <si>
    <t>安抚民众，心之所向</t>
    <phoneticPr fontId="3" type="noConversion"/>
  </si>
  <si>
    <t>任务类型枚举，1=主线任务，2=支线任务，3=县衙任务，4=捕房任务，……</t>
    <phoneticPr fontId="3" type="noConversion"/>
  </si>
  <si>
    <t>WASD操作；QE操作；鼠标滚轮操作</t>
    <phoneticPr fontId="13" type="noConversion"/>
  </si>
  <si>
    <t>收留【灾民】3人</t>
    <phoneticPr fontId="3" type="noConversion"/>
  </si>
  <si>
    <t>拥有50个【食物】</t>
    <phoneticPr fontId="3" type="noConversion"/>
  </si>
  <si>
    <t>交付20两</t>
    <phoneticPr fontId="3" type="noConversion"/>
  </si>
  <si>
    <t>交付300个【食物】</t>
    <phoneticPr fontId="3" type="noConversion"/>
  </si>
  <si>
    <t>总幸福度达到80以上</t>
    <phoneticPr fontId="3" type="noConversion"/>
  </si>
  <si>
    <t>9002=总幸福度</t>
    <phoneticPr fontId="3" type="noConversion"/>
  </si>
  <si>
    <t>1031=建筑周边巡逻</t>
    <phoneticPr fontId="3" type="noConversion"/>
  </si>
  <si>
    <t>1032=出境抓捕</t>
    <phoneticPr fontId="3" type="noConversion"/>
  </si>
  <si>
    <t>粮仓周围巡逻</t>
    <phoneticPr fontId="3" type="noConversion"/>
  </si>
  <si>
    <t>出境抓捕</t>
    <phoneticPr fontId="3" type="noConversion"/>
  </si>
  <si>
    <t>解纳税银</t>
    <phoneticPr fontId="3" type="noConversion"/>
  </si>
  <si>
    <t>筹措军粮</t>
    <phoneticPr fontId="3" type="noConversion"/>
  </si>
  <si>
    <t>纳税交银，光荣义务</t>
    <phoneticPr fontId="3" type="noConversion"/>
  </si>
  <si>
    <t>边关用兵，就近筹粮</t>
    <phoneticPr fontId="3" type="noConversion"/>
  </si>
  <si>
    <t>粮仓失窃</t>
    <phoneticPr fontId="3" type="noConversion"/>
  </si>
  <si>
    <t>畏罪潜逃</t>
    <phoneticPr fontId="3" type="noConversion"/>
  </si>
  <si>
    <t>近日粮仓常有失窃，加强巡逻</t>
    <phoneticPr fontId="3" type="noConversion"/>
  </si>
  <si>
    <t>凶案嫌犯潜逃临县，缉拿归案</t>
    <phoneticPr fontId="3" type="noConversion"/>
  </si>
  <si>
    <t>YinQian</t>
    <phoneticPr fontId="3" type="noConversion"/>
  </si>
  <si>
    <t>LiangCao</t>
    <phoneticPr fontId="3" type="noConversion"/>
  </si>
  <si>
    <t>XunLuo</t>
    <phoneticPr fontId="3" type="noConversion"/>
  </si>
  <si>
    <t>ZhuaBu</t>
    <phoneticPr fontId="3" type="noConversion"/>
  </si>
  <si>
    <t>3002,3,0,300</t>
    <phoneticPr fontId="3" type="noConversion"/>
  </si>
  <si>
    <t>20100001,20;20101001,100000;20101003,5;20102001,1000;20102002,1000;20102003,1000;20103001,100</t>
  </si>
  <si>
    <t>20100001,30;20101001,30000;20101003,10;20103001,20</t>
  </si>
  <si>
    <t>GameDay()</t>
    <phoneticPr fontId="3" type="noConversion"/>
  </si>
  <si>
    <t>任务分组枚举，1=建造任务，2=生产任务，3=税赋任务，4=巡逻任务，5=抓捕任务，……</t>
    <phoneticPr fontId="3" type="noConversion"/>
  </si>
  <si>
    <t>事件主触发器，GameDay($DayCnt)=游戏日开始(隔n日)，RoleAction($ActionName)=角色行为，TaskGroup($GroupEnum)=任务分组</t>
    <phoneticPr fontId="3" type="noConversion"/>
  </si>
  <si>
    <t>GameDay(1)</t>
    <phoneticPr fontId="3" type="noConversion"/>
  </si>
  <si>
    <t>GameDay(2)</t>
    <phoneticPr fontId="3" type="noConversion"/>
  </si>
  <si>
    <t>RoleAction(Build)</t>
    <phoneticPr fontId="3" type="noConversion"/>
  </si>
  <si>
    <t>RoleAction(Plunk)</t>
    <phoneticPr fontId="3" type="noConversion"/>
  </si>
  <si>
    <t>RoleAction(Hew)</t>
    <phoneticPr fontId="3" type="noConversion"/>
  </si>
  <si>
    <t>黄河水灾</t>
    <phoneticPr fontId="3" type="noConversion"/>
  </si>
  <si>
    <t>蝗虫肆虐</t>
    <phoneticPr fontId="3" type="noConversion"/>
  </si>
  <si>
    <t>皇命难违</t>
    <phoneticPr fontId="3" type="noConversion"/>
  </si>
  <si>
    <t>施工错误</t>
    <phoneticPr fontId="3" type="noConversion"/>
  </si>
  <si>
    <t>储存不当</t>
    <phoneticPr fontId="3" type="noConversion"/>
  </si>
  <si>
    <t>不慎受伤</t>
    <phoneticPr fontId="3" type="noConversion"/>
  </si>
  <si>
    <t>黄河水患，周边郡县有大量灾民</t>
    <phoneticPr fontId="3" type="noConversion"/>
  </si>
  <si>
    <t>产量区蝗灾严重，需要储备充足粮食</t>
    <phoneticPr fontId="3" type="noConversion"/>
  </si>
  <si>
    <t>要求改善民生，促进安居乐业</t>
    <phoneticPr fontId="3" type="noConversion"/>
  </si>
  <si>
    <t>建造过程中施工错误，扣减建筑完成度</t>
    <phoneticPr fontId="3" type="noConversion"/>
  </si>
  <si>
    <t>采摘食材时，因保存不当，造成新鲜度降低</t>
    <phoneticPr fontId="3" type="noConversion"/>
  </si>
  <si>
    <t>伐木时不慎受伤，停工休息</t>
    <phoneticPr fontId="3" type="noConversion"/>
  </si>
  <si>
    <t>劫匪横行</t>
    <phoneticPr fontId="3" type="noConversion"/>
  </si>
  <si>
    <t>路遇窃贼</t>
    <phoneticPr fontId="3" type="noConversion"/>
  </si>
  <si>
    <t>trigger_pri</t>
  </si>
  <si>
    <t>触发优先</t>
  </si>
  <si>
    <t>事件满足所有条件后的触发优先级，升序</t>
  </si>
  <si>
    <t>1031,31103001,200,1</t>
    <phoneticPr fontId="3" type="noConversion"/>
  </si>
  <si>
    <t>1032,0,200,1</t>
    <phoneticPr fontId="3" type="noConversion"/>
  </si>
  <si>
    <t>地产契书</t>
    <phoneticPr fontId="3" type="noConversion"/>
  </si>
  <si>
    <t>户籍申报</t>
    <phoneticPr fontId="3" type="noConversion"/>
  </si>
  <si>
    <t>邻里纠纷</t>
    <phoneticPr fontId="3" type="noConversion"/>
  </si>
  <si>
    <t>嫌犯逃脱</t>
    <phoneticPr fontId="3" type="noConversion"/>
  </si>
  <si>
    <t>伤亡惨重</t>
    <phoneticPr fontId="3" type="noConversion"/>
  </si>
  <si>
    <t>巡逻过程中，正好遭遇窃贼</t>
    <phoneticPr fontId="3" type="noConversion"/>
  </si>
  <si>
    <t>外出抓捕失利，嫌犯逃脱</t>
    <phoneticPr fontId="3" type="noConversion"/>
  </si>
  <si>
    <t>外出抓捕遭遇无力抵抗，伤亡惨重</t>
    <phoneticPr fontId="3" type="noConversion"/>
  </si>
  <si>
    <t>执行税赋或粮草押运途中，遭遇劫匪</t>
    <phoneticPr fontId="3" type="noConversion"/>
  </si>
  <si>
    <t>trigger_weight</t>
    <phoneticPr fontId="3" type="noConversion"/>
  </si>
  <si>
    <t>触发权重</t>
    <phoneticPr fontId="3" type="noConversion"/>
  </si>
  <si>
    <t>事件满足所有条件后的触发权重值</t>
    <phoneticPr fontId="3" type="noConversion"/>
  </si>
  <si>
    <t>居民开垦荒地，新地办理契书</t>
    <phoneticPr fontId="3" type="noConversion"/>
  </si>
  <si>
    <t>居民添丁生口，申报户籍</t>
    <phoneticPr fontId="3" type="noConversion"/>
  </si>
  <si>
    <t>同村居民因为用水产生纠纷</t>
    <phoneticPr fontId="3" type="noConversion"/>
  </si>
  <si>
    <t>calendarMonth(7,8,9)</t>
    <phoneticPr fontId="3" type="noConversion"/>
  </si>
  <si>
    <t>taskCompleteTime(40103001,300)</t>
    <phoneticPr fontId="3" type="noConversion"/>
  </si>
  <si>
    <t>一网打尽</t>
    <phoneticPr fontId="3" type="noConversion"/>
  </si>
  <si>
    <t>因为线人提供线索，将嫌犯一网打尽</t>
    <phoneticPr fontId="3" type="noConversion"/>
  </si>
  <si>
    <t>workAbilityAbove(100)</t>
    <phoneticPr fontId="3" type="noConversion"/>
  </si>
  <si>
    <t>workAbilityBelow(100)</t>
    <phoneticPr fontId="3" type="noConversion"/>
  </si>
  <si>
    <t>workAbilityAbove(150)</t>
    <phoneticPr fontId="3" type="noConversion"/>
  </si>
  <si>
    <t>workAbilityBelow(50)</t>
    <phoneticPr fontId="3" type="noConversion"/>
  </si>
  <si>
    <t>60,150</t>
    <phoneticPr fontId="3" type="noConversion"/>
  </si>
  <si>
    <t>90,180</t>
    <phoneticPr fontId="3" type="noConversion"/>
  </si>
  <si>
    <t>事件触发类型枚举，0=官署事件，1=全局事件，2=角色事件，3=任务事件，……</t>
    <phoneticPr fontId="3" type="noConversion"/>
  </si>
  <si>
    <t>事件表现分组枚举，0=官署事件，1=公告板事件，2=强制演出事件，3=弱演出事件，……</t>
    <phoneticPr fontId="3" type="noConversion"/>
  </si>
  <si>
    <t>houseLevel(31101001,2,);happinessOverallBelow(60)</t>
    <phoneticPr fontId="3" type="noConversion"/>
  </si>
  <si>
    <t>10,110</t>
    <phoneticPr fontId="3" type="noConversion"/>
  </si>
  <si>
    <t>0,0</t>
    <phoneticPr fontId="3" type="noConversion"/>
  </si>
  <si>
    <t>TaskAccept(40103001)</t>
    <phoneticPr fontId="3" type="noConversion"/>
  </si>
  <si>
    <t>TaskGroupAccept(5)</t>
    <phoneticPr fontId="3" type="noConversion"/>
  </si>
  <si>
    <t>20,30</t>
    <phoneticPr fontId="3" type="noConversion"/>
  </si>
  <si>
    <t>触发器说明</t>
    <phoneticPr fontId="3" type="noConversion"/>
  </si>
  <si>
    <t>每个游戏日开始</t>
    <phoneticPr fontId="3" type="noConversion"/>
  </si>
  <si>
    <t>间隔1个游戏日开始（触发1次后间隔1天）</t>
    <phoneticPr fontId="3" type="noConversion"/>
  </si>
  <si>
    <t>间隔2个游戏日开始（触发1次后间隔2天）</t>
    <phoneticPr fontId="3" type="noConversion"/>
  </si>
  <si>
    <t>角色行为Build开始</t>
    <phoneticPr fontId="3" type="noConversion"/>
  </si>
  <si>
    <t>角色行为Plunk开始</t>
    <phoneticPr fontId="3" type="noConversion"/>
  </si>
  <si>
    <t>角色行为Hew开始</t>
  </si>
  <si>
    <t>任务ID=40103001开始</t>
    <phoneticPr fontId="3" type="noConversion"/>
  </si>
  <si>
    <t>任务TYPE=5开始</t>
  </si>
  <si>
    <t>任务TYPE=5开始</t>
    <phoneticPr fontId="3" type="noConversion"/>
  </si>
  <si>
    <t>houseLevel(31100001,,)</t>
    <phoneticPr fontId="3" type="noConversion"/>
  </si>
  <si>
    <t>建筑31100001任意等级</t>
    <phoneticPr fontId="3" type="noConversion"/>
  </si>
  <si>
    <t>建筑31101001等级&gt;=2，且总幸福度&lt;60</t>
    <phoneticPr fontId="3" type="noConversion"/>
  </si>
  <si>
    <t>日历月=7，8，9</t>
    <phoneticPr fontId="3" type="noConversion"/>
  </si>
  <si>
    <t>任务ID=40103001完成300秒内</t>
    <phoneticPr fontId="3" type="noConversion"/>
  </si>
  <si>
    <t>工作能力&lt;100</t>
    <phoneticPr fontId="3" type="noConversion"/>
  </si>
  <si>
    <t>工作能力&gt;=100</t>
    <phoneticPr fontId="3" type="noConversion"/>
  </si>
  <si>
    <t>工作能力&lt;50</t>
    <phoneticPr fontId="3" type="noConversion"/>
  </si>
  <si>
    <t>工作能力&gt;=150</t>
    <phoneticPr fontId="3" type="noConversion"/>
  </si>
  <si>
    <t>DiChanQiShu</t>
    <phoneticPr fontId="3" type="noConversion"/>
  </si>
  <si>
    <t>HuJiShenBao</t>
    <phoneticPr fontId="3" type="noConversion"/>
  </si>
  <si>
    <t>LinLiJiuFen</t>
    <phoneticPr fontId="3" type="noConversion"/>
  </si>
  <si>
    <t>WorkMistake</t>
    <phoneticPr fontId="3" type="noConversion"/>
  </si>
  <si>
    <t>WorkHurt</t>
    <phoneticPr fontId="3" type="noConversion"/>
  </si>
  <si>
    <t>LuYuQieZei</t>
    <phoneticPr fontId="3" type="noConversion"/>
  </si>
  <si>
    <t>公告黄河水灾，领取任务【收拢灾民】</t>
    <phoneticPr fontId="13" type="noConversion"/>
  </si>
  <si>
    <t>公告周边蝗灾，领取任务【筹措物资】</t>
    <phoneticPr fontId="13" type="noConversion"/>
  </si>
  <si>
    <t>公告解纳的税银遭遇劫匪，扣除政绩经验，并赋予总幸福度降低标签</t>
    <phoneticPr fontId="3" type="noConversion"/>
  </si>
  <si>
    <t>直接停止工作，并赋予角色限时【受伤】Buff</t>
    <phoneticPr fontId="3" type="noConversion"/>
  </si>
  <si>
    <t>巡逻遭遇窃贼，处理结果：抓捕成功、抓捕失败、无视</t>
    <phoneticPr fontId="3" type="noConversion"/>
  </si>
  <si>
    <t>出境抓捕嫌犯失败，提前结束任务，任务失败</t>
    <phoneticPr fontId="3" type="noConversion"/>
  </si>
  <si>
    <t>出境抓捕嫌犯失败，且队伍成员有死伤(Buff)，提前结束任务，任务失败</t>
    <phoneticPr fontId="3" type="noConversion"/>
  </si>
  <si>
    <t>出境抓捕嫌犯成功，额外收获政绩，提前结束任务，任务成功</t>
    <phoneticPr fontId="3" type="noConversion"/>
  </si>
  <si>
    <t>标签列表</t>
    <phoneticPr fontId="3" type="noConversion"/>
  </si>
  <si>
    <t>居民前来衙门办理地产契书，是否转化为任务？？</t>
    <phoneticPr fontId="3" type="noConversion"/>
  </si>
  <si>
    <t>居民前来衙门办理户籍申报，是否转化为任务？？</t>
    <phoneticPr fontId="3" type="noConversion"/>
  </si>
  <si>
    <t>居民前来衙门办理邻里纠纷，是否转化为任务？？</t>
    <phoneticPr fontId="3" type="noConversion"/>
  </si>
  <si>
    <t>effect_list</t>
    <phoneticPr fontId="3" type="noConversion"/>
  </si>
  <si>
    <t>stringarray</t>
    <phoneticPr fontId="3" type="noConversion"/>
  </si>
  <si>
    <t>事件结果关联的额外效果，可设置多项对应分支结果</t>
    <phoneticPr fontId="3" type="noConversion"/>
  </si>
  <si>
    <t>acceptTask(40102001)</t>
    <phoneticPr fontId="3" type="noConversion"/>
  </si>
  <si>
    <t>acceptTask(40102002)</t>
  </si>
  <si>
    <t>acceptTask(40102003)</t>
  </si>
  <si>
    <t>durability</t>
    <phoneticPr fontId="3" type="noConversion"/>
  </si>
  <si>
    <t>subHouseDurability(100)</t>
    <phoneticPr fontId="3" type="noConversion"/>
  </si>
  <si>
    <t>直接扣除建筑进度100</t>
    <phoneticPr fontId="13" type="noConversion"/>
  </si>
  <si>
    <t>治下劫匪横行，大家怕怕</t>
    <phoneticPr fontId="3" type="noConversion"/>
  </si>
  <si>
    <t>歌舞升平</t>
    <phoneticPr fontId="3" type="noConversion"/>
  </si>
  <si>
    <t>虽然世事不平，歌照唱、舞照跳</t>
    <phoneticPr fontId="3" type="noConversion"/>
  </si>
  <si>
    <t>总幸福度-10</t>
    <phoneticPr fontId="3" type="noConversion"/>
  </si>
  <si>
    <t>总幸福度+10</t>
    <phoneticPr fontId="3" type="noConversion"/>
  </si>
  <si>
    <t>12309000,-10</t>
    <phoneticPr fontId="3" type="noConversion"/>
  </si>
  <si>
    <t>addTag(12000101,300)</t>
    <phoneticPr fontId="3" type="noConversion"/>
  </si>
  <si>
    <t>subLoadItemFreshness(100)</t>
    <phoneticPr fontId="3" type="noConversion"/>
  </si>
  <si>
    <t>直接扣除负载物品新鲜度100</t>
    <phoneticPr fontId="3" type="noConversion"/>
  </si>
  <si>
    <t>轻伤</t>
    <phoneticPr fontId="3" type="noConversion"/>
  </si>
  <si>
    <t>重伤</t>
    <phoneticPr fontId="3" type="noConversion"/>
  </si>
  <si>
    <t>遭受了轻微伤害</t>
    <phoneticPr fontId="3" type="noConversion"/>
  </si>
  <si>
    <t>遭受了致命伤害</t>
    <phoneticPr fontId="3" type="noConversion"/>
  </si>
  <si>
    <t>全部能力-20% 休息放松几率+200</t>
    <phoneticPr fontId="3" type="noConversion"/>
  </si>
  <si>
    <t>全部能力-50% 休息放松几率+500</t>
    <phoneticPr fontId="3" type="noConversion"/>
  </si>
  <si>
    <t>addTag(12010501,300)</t>
    <phoneticPr fontId="3" type="noConversion"/>
  </si>
  <si>
    <t>addTag(12010502,300)</t>
    <phoneticPr fontId="3" type="noConversion"/>
  </si>
  <si>
    <t>20100001,30|20100001,-10</t>
    <phoneticPr fontId="3" type="noConversion"/>
  </si>
  <si>
    <t>20100001,-10</t>
    <phoneticPr fontId="3" type="noConversion"/>
  </si>
  <si>
    <t>20100001,10|20100001,-5|20100001,-10</t>
    <phoneticPr fontId="3" type="noConversion"/>
  </si>
  <si>
    <t>20100001,20;20101003,5</t>
    <phoneticPr fontId="3" type="noConversion"/>
  </si>
  <si>
    <t>20100001,30;20101003,5</t>
    <phoneticPr fontId="3" type="noConversion"/>
  </si>
  <si>
    <t>20100001,30;20101003,10</t>
    <phoneticPr fontId="3" type="noConversion"/>
  </si>
  <si>
    <t>20100001,20;20101003,10</t>
    <phoneticPr fontId="3" type="noConversion"/>
  </si>
  <si>
    <t>20100001,50;20101001,30000;20101003,10</t>
    <phoneticPr fontId="3" type="noConversion"/>
  </si>
  <si>
    <t>20100001,20;20101003,5;20103001,10|20100001,-5</t>
    <phoneticPr fontId="3" type="noConversion"/>
  </si>
  <si>
    <t>20100001,20;20101003,10|20100001,-5</t>
    <phoneticPr fontId="3" type="noConversion"/>
  </si>
  <si>
    <t>Task.goal_list.type</t>
    <phoneticPr fontId="3" type="noConversion"/>
  </si>
  <si>
    <t>默认文本</t>
    <phoneticPr fontId="3" type="noConversion"/>
  </si>
  <si>
    <t>cnt=1文本</t>
    <phoneticPr fontId="3" type="noConversion"/>
  </si>
  <si>
    <t>target/bar缺省文本</t>
    <phoneticPr fontId="3" type="noConversion"/>
  </si>
  <si>
    <t>任务目标提示文本规则说明</t>
    <phoneticPr fontId="3" type="noConversion"/>
  </si>
  <si>
    <t>通过WASD按键进行移动</t>
  </si>
  <si>
    <t>通过Q/E按键进行旋转</t>
  </si>
  <si>
    <t>通过鼠标滚轮调节距离</t>
  </si>
  <si>
    <t>前往 临县 追捕嫌犯 [cnt] 次</t>
  </si>
  <si>
    <t>拥有 [cnt] 个 领地居民</t>
  </si>
  <si>
    <t>前往 临县 追捕嫌犯</t>
    <phoneticPr fontId="3" type="noConversion"/>
  </si>
  <si>
    <t>拥有 [cnt] 个 幸福度 高于 [bar] 的居民</t>
  </si>
  <si>
    <t>拥有 [cnt] 个 幸福度 低于 [bar] 的居民</t>
  </si>
  <si>
    <t>领地总幸福度 高于 [bar]</t>
  </si>
  <si>
    <t>物品分类枚举：0=经验，1=货币，2=资源，3=食物，4=食材，5=材料，6=物资，7=道具，8=装备，9=设施，……</t>
    <phoneticPr fontId="3" type="noConversion"/>
  </si>
  <si>
    <t>Item.type</t>
    <phoneticPr fontId="3" type="noConversion"/>
  </si>
  <si>
    <t>经验</t>
    <phoneticPr fontId="3" type="noConversion"/>
  </si>
  <si>
    <t>货币</t>
    <phoneticPr fontId="3" type="noConversion"/>
  </si>
  <si>
    <t>资源</t>
    <phoneticPr fontId="3" type="noConversion"/>
  </si>
  <si>
    <t>食物</t>
    <phoneticPr fontId="3" type="noConversion"/>
  </si>
  <si>
    <t>食材</t>
    <phoneticPr fontId="3" type="noConversion"/>
  </si>
  <si>
    <t>材料</t>
    <phoneticPr fontId="3" type="noConversion"/>
  </si>
  <si>
    <t>物资</t>
    <phoneticPr fontId="3" type="noConversion"/>
  </si>
  <si>
    <t>道具</t>
    <phoneticPr fontId="3" type="noConversion"/>
  </si>
  <si>
    <t>装备</t>
    <phoneticPr fontId="3" type="noConversion"/>
  </si>
  <si>
    <t>设施</t>
    <phoneticPr fontId="3" type="noConversion"/>
  </si>
  <si>
    <t>RoleInfo.type</t>
    <phoneticPr fontId="3" type="noConversion"/>
  </si>
  <si>
    <t>Lord</t>
    <phoneticPr fontId="3" type="noConversion"/>
  </si>
  <si>
    <t>Pleb</t>
    <phoneticPr fontId="3" type="noConversion"/>
  </si>
  <si>
    <t>Gentry</t>
    <phoneticPr fontId="3" type="noConversion"/>
  </si>
  <si>
    <t>Npc</t>
    <phoneticPr fontId="3" type="noConversion"/>
  </si>
  <si>
    <t>地方官</t>
    <phoneticPr fontId="3" type="noConversion"/>
  </si>
  <si>
    <t>百姓</t>
    <phoneticPr fontId="3" type="noConversion"/>
  </si>
  <si>
    <t>士族</t>
    <phoneticPr fontId="3" type="noConversion"/>
  </si>
  <si>
    <t>其他</t>
    <phoneticPr fontId="3" type="noConversion"/>
  </si>
  <si>
    <t>9002,0,80,1</t>
    <phoneticPr fontId="3" type="noConversion"/>
  </si>
  <si>
    <t>matrix["item:int","cnt:int"]</t>
    <phoneticPr fontId="3" type="noConversion"/>
  </si>
  <si>
    <t>10,31</t>
  </si>
  <si>
    <t>10,32</t>
  </si>
  <si>
    <t>公告皇命圣旨，领取任务【安居乐业】</t>
    <phoneticPr fontId="3" type="noConversion"/>
  </si>
  <si>
    <t>JieNaShuiYin</t>
    <phoneticPr fontId="3" type="noConversion"/>
  </si>
  <si>
    <t>ChouCuoJunLiang</t>
    <phoneticPr fontId="3" type="noConversion"/>
  </si>
  <si>
    <t>3;4,6,8</t>
    <phoneticPr fontId="3" type="noConversion"/>
  </si>
  <si>
    <t>4;4,6,8</t>
    <phoneticPr fontId="3" type="noConversion"/>
  </si>
  <si>
    <t>住宅可用容量</t>
    <phoneticPr fontId="3" type="noConversion"/>
  </si>
  <si>
    <t>triggerTask(40103001)</t>
    <phoneticPr fontId="3" type="noConversion"/>
  </si>
  <si>
    <t>triggerTask(40103002)</t>
    <phoneticPr fontId="3" type="noConversion"/>
  </si>
  <si>
    <t>信使传信告知，触发任务【解纳税银】</t>
    <phoneticPr fontId="3" type="noConversion"/>
  </si>
  <si>
    <t>信使传信告知，触发任务【筹措军粮】</t>
    <phoneticPr fontId="3" type="noConversion"/>
  </si>
  <si>
    <t>pleb_random_prof_cnt_range</t>
    <phoneticPr fontId="3" type="noConversion"/>
  </si>
  <si>
    <t>默认</t>
    <phoneticPr fontId="3" type="noConversion"/>
  </si>
  <si>
    <t>健康</t>
    <phoneticPr fontId="3" type="noConversion"/>
  </si>
  <si>
    <t>体</t>
    <phoneticPr fontId="3" type="noConversion"/>
  </si>
  <si>
    <t>角色健康状态</t>
    <phoneticPr fontId="3" type="noConversion"/>
  </si>
  <si>
    <t>JianKang</t>
    <phoneticPr fontId="3" type="noConversion"/>
  </si>
  <si>
    <t>捕房任务触发间隔时间，单位：秒s</t>
    <phoneticPr fontId="3" type="noConversion"/>
  </si>
  <si>
    <t>3,4,5</t>
    <phoneticPr fontId="3" type="noConversion"/>
  </si>
  <si>
    <t>为 [cnt] 名 [target:name] 分配住宅</t>
  </si>
  <si>
    <t>[target:name]RoleStatus.status_enum=&gt;RoleStatus.name</t>
  </si>
  <si>
    <t>收留 [cnt] 名 [target:name]</t>
  </si>
  <si>
    <t>[target:name]RoleJob.job_enum=&gt;RoleJob.name</t>
  </si>
  <si>
    <t>招募 [cnt] 名 [target:name]</t>
  </si>
  <si>
    <t>驱逐 [cnt] 名 [target:name]</t>
  </si>
  <si>
    <t>遣散 [cnt] 名 [target:name]</t>
  </si>
  <si>
    <t>前往 [target:name] 周边巡逻 [cnt] 次</t>
  </si>
  <si>
    <t>前往 [target:name] 周边巡逻</t>
  </si>
  <si>
    <t>[target:name]House.id=&gt;House.name</t>
  </si>
  <si>
    <t>拥有 [cnt] 个 [target:name] 居民</t>
  </si>
  <si>
    <t>[target:name]RoleInfo.type=&gt;GameDict.txt</t>
  </si>
  <si>
    <t>[target:name]RoleInfo.sex=&gt;GameDict.txt</t>
  </si>
  <si>
    <t>拥有 [cnt] 个 [target:name] [bar] 级的居民</t>
  </si>
  <si>
    <t>拥有 [cnt] 个 [target:name] 专长的居民</t>
  </si>
  <si>
    <t>[target:name]RoleProf.prof_enum=&gt;RoleProf.name</t>
  </si>
  <si>
    <t>拥有 [cnt] 个 [target:name]</t>
  </si>
  <si>
    <t>拥有 [cnt] 个 [target:name] 高于 [bar] 的居民</t>
  </si>
  <si>
    <t>[target:name]Role.ability_enum=&gt;GameDIct.txt</t>
  </si>
  <si>
    <t>拥有 [cnt] 个 [target:name] 最大值 高于 [bar] 的居民</t>
  </si>
  <si>
    <t>[target:name]Role.desire_enum=&gt;GameDIct.txt</t>
  </si>
  <si>
    <t>拥有 [cnt] 个 [target:name] 当前值 高于 [bar] 的居民</t>
  </si>
  <si>
    <t>拥有 [cnt] 个 [target:name] 低于 [bar] 的居民</t>
  </si>
  <si>
    <t>拥有 [cnt] 个 [target:name] 最大值 低于 [bar] 的居民</t>
  </si>
  <si>
    <t>拥有 [cnt] 个 [target:name] 当前值 低于 [bar] 的居民</t>
  </si>
  <si>
    <t>[target:name]Item.id=&gt;Item.name</t>
  </si>
  <si>
    <t>[target:name]Item.type=&gt;GameDIct.txt</t>
  </si>
  <si>
    <t>准备 [cnt] 个 [target:name]</t>
  </si>
  <si>
    <t>获取 [cnt] 个 [target:name]</t>
  </si>
  <si>
    <t>生产 [cnt] 个 [target:name]</t>
  </si>
  <si>
    <t>修复 [target:name]</t>
  </si>
  <si>
    <t>建造 [cnt] 个 [target:name]</t>
  </si>
  <si>
    <t>拥有 [cnt] 个 [bar] 级 [target:name]</t>
  </si>
  <si>
    <t>官阶提升至 [bar:txt]</t>
  </si>
  <si>
    <t>[bar:txt]lord_grade_level=&gt;GameDict.txt</t>
  </si>
  <si>
    <t>为 [target:name] 分配 [cnt] 名 [bar:name]</t>
  </si>
  <si>
    <t>分配 [cnt] 名 [bar:name]</t>
  </si>
  <si>
    <t>[target:name]House.id=&gt;House.name；[bar:name]RoleJob.job_enum=&gt;RoleJob.name</t>
  </si>
  <si>
    <t>为 [cnt] 个 [target:name] 增筑 [bar:name]</t>
  </si>
  <si>
    <t>[target:name]House.id=&gt;House.name；[bar:name]House.id=&gt;House.name</t>
  </si>
  <si>
    <t>官署事件数量（每天）</t>
    <phoneticPr fontId="3" type="noConversion"/>
  </si>
  <si>
    <t>Make</t>
    <phoneticPr fontId="3" type="noConversion"/>
  </si>
  <si>
    <t>制作</t>
    <phoneticPr fontId="3" type="noConversion"/>
  </si>
  <si>
    <t>制作生产各类物品</t>
    <phoneticPr fontId="3" type="noConversion"/>
  </si>
  <si>
    <t>功能未开启</t>
    <phoneticPr fontId="3" type="noConversion"/>
  </si>
  <si>
    <t>8位数字编号，922xxyyy，xx=分组(按系统来源)，yyy=纯流水
00=系统组，01=角色组，02=物品组，03=建筑组，04=任务组</t>
    <phoneticPr fontId="3" type="noConversion"/>
  </si>
  <si>
    <t>922010xx</t>
    <phoneticPr fontId="3" type="noConversion"/>
  </si>
  <si>
    <t>92200xxx</t>
    <phoneticPr fontId="3" type="noConversion"/>
  </si>
  <si>
    <t>922011xx</t>
    <phoneticPr fontId="3" type="noConversion"/>
  </si>
  <si>
    <t>92202xxx</t>
    <phoneticPr fontId="3" type="noConversion"/>
  </si>
  <si>
    <t>92203xxx</t>
    <phoneticPr fontId="3" type="noConversion"/>
  </si>
  <si>
    <t>系统组</t>
    <phoneticPr fontId="3" type="noConversion"/>
  </si>
  <si>
    <t>角色组(操作)</t>
    <phoneticPr fontId="3" type="noConversion"/>
  </si>
  <si>
    <t>角色组(AI)</t>
    <phoneticPr fontId="3" type="noConversion"/>
  </si>
  <si>
    <t>物品组</t>
    <phoneticPr fontId="3" type="noConversion"/>
  </si>
  <si>
    <t>建筑组</t>
    <phoneticPr fontId="3" type="noConversion"/>
  </si>
  <si>
    <t>退出游戏提示</t>
    <phoneticPr fontId="3" type="noConversion"/>
  </si>
  <si>
    <t>建筑建造：开始建造</t>
  </si>
  <si>
    <t>建筑建造：建造完成</t>
  </si>
  <si>
    <t>建筑拆除：拆除二次确认</t>
  </si>
  <si>
    <t>922040xx</t>
    <phoneticPr fontId="3" type="noConversion"/>
  </si>
  <si>
    <t>任务组(章节)</t>
    <phoneticPr fontId="3" type="noConversion"/>
  </si>
  <si>
    <t>922041xx</t>
    <phoneticPr fontId="3" type="noConversion"/>
  </si>
  <si>
    <t>任务组(任务)</t>
    <phoneticPr fontId="3" type="noConversion"/>
  </si>
  <si>
    <t>922042xx</t>
    <phoneticPr fontId="3" type="noConversion"/>
  </si>
  <si>
    <t>任务组(事件)</t>
    <phoneticPr fontId="3" type="noConversion"/>
  </si>
  <si>
    <t>救助二次确认</t>
    <phoneticPr fontId="3" type="noConversion"/>
  </si>
  <si>
    <t>驱逐二次确认</t>
    <phoneticPr fontId="3" type="noConversion"/>
  </si>
  <si>
    <t>无法驱逐警告</t>
    <phoneticPr fontId="3" type="noConversion"/>
  </si>
  <si>
    <t>[GameFunc.name] 功能暂未开启\n[GameFunc.disable_desc]</t>
    <phoneticPr fontId="3" type="noConversion"/>
  </si>
  <si>
    <t>Confirm,知道了</t>
    <phoneticPr fontId="3" type="noConversion"/>
  </si>
  <si>
    <t>[Role:name] 将会离开，是否确认驱逐？</t>
    <phoneticPr fontId="3" type="noConversion"/>
  </si>
  <si>
    <t>[Role:name] 正在执行任务中，目前无法驱逐。</t>
    <phoneticPr fontId="3" type="noConversion"/>
  </si>
  <si>
    <t>Confirm,是的;Cancel,算了</t>
    <phoneticPr fontId="3" type="noConversion"/>
  </si>
  <si>
    <t>返回主菜单将会失去所有未保存的进度，是否立即返回？</t>
    <phoneticPr fontId="3" type="noConversion"/>
  </si>
  <si>
    <t>官阶提升至 [House.unlock_cnt.grade:txt] 后，可继续建造 [House.name]。</t>
    <phoneticPr fontId="3" type="noConversion"/>
  </si>
  <si>
    <t>[House.name] 建造数量已达上限。</t>
    <phoneticPr fontId="3" type="noConversion"/>
  </si>
  <si>
    <t>需要建造 [House.pre_house.level] 级 [House.pre_house.house:name]。</t>
    <phoneticPr fontId="3" type="noConversion"/>
  </si>
  <si>
    <t>建造所需银钱不足。</t>
    <phoneticPr fontId="3" type="noConversion"/>
  </si>
  <si>
    <t>[House.name] 开始建造。</t>
    <phoneticPr fontId="3" type="noConversion"/>
  </si>
  <si>
    <t>[House.name] 建造完成。</t>
    <phoneticPr fontId="3" type="noConversion"/>
  </si>
  <si>
    <t>是否拆除 [House.name] ？\n（拆除后将返还部分建造材料）</t>
    <phoneticPr fontId="3" type="noConversion"/>
  </si>
  <si>
    <t>[House.name] 已经破败不堪，是否花费 {0} 银钱进行修缮？</t>
    <phoneticPr fontId="3" type="noConversion"/>
  </si>
  <si>
    <t>[House.name] 略有损坏，是否花费 {0} 银钱进行修缮？</t>
    <phoneticPr fontId="3" type="noConversion"/>
  </si>
  <si>
    <t>建筑维修：费用不足，{0}=计算获得的修理费用数额</t>
    <phoneticPr fontId="3" type="noConversion"/>
  </si>
  <si>
    <t>建筑维修：耐久不为0，{0}=计算获得的修理费用数额</t>
    <phoneticPr fontId="3" type="noConversion"/>
  </si>
  <si>
    <t>建筑维修：耐久为0，{0}=计算获得的修理费用数额</t>
    <phoneticPr fontId="3" type="noConversion"/>
  </si>
  <si>
    <t>建造条件：官阶不够</t>
    <phoneticPr fontId="3" type="noConversion"/>
  </si>
  <si>
    <t>建造条件：数量上限</t>
    <phoneticPr fontId="3" type="noConversion"/>
  </si>
  <si>
    <t>建造条件：前置建筑</t>
    <phoneticPr fontId="3" type="noConversion"/>
  </si>
  <si>
    <t>建造条件：建筑费用</t>
    <phoneticPr fontId="3" type="noConversion"/>
  </si>
  <si>
    <t>升级条件：官阶不够（仅限县衙）</t>
    <phoneticPr fontId="3" type="noConversion"/>
  </si>
  <si>
    <t>[House.name] 需要官阶至 [House.unlock_cnt.grade:txt] 后，可继续升级。</t>
    <phoneticPr fontId="3" type="noConversion"/>
  </si>
  <si>
    <t>升级条件：前置建筑</t>
    <phoneticPr fontId="3" type="noConversion"/>
  </si>
  <si>
    <t>[House.name] 升级所需银钱不足。</t>
    <phoneticPr fontId="3" type="noConversion"/>
  </si>
  <si>
    <t>升级条件：建筑费用</t>
    <phoneticPr fontId="3" type="noConversion"/>
  </si>
  <si>
    <t>建筑升级：升级开始</t>
    <phoneticPr fontId="3" type="noConversion"/>
  </si>
  <si>
    <t>建筑升级：升级完成</t>
    <phoneticPr fontId="3" type="noConversion"/>
  </si>
  <si>
    <t>[House.name] 开始升级。</t>
    <phoneticPr fontId="3" type="noConversion"/>
  </si>
  <si>
    <t>[House.name] 升级完成。</t>
    <phoneticPr fontId="3" type="noConversion"/>
  </si>
  <si>
    <t>建筑扩建：建筑费用</t>
    <phoneticPr fontId="3" type="noConversion"/>
  </si>
  <si>
    <t>{0} 增筑 [House.name] 需要建造 [House.pre_house.level] 级 [House.pre_house.house:name]。</t>
    <phoneticPr fontId="3" type="noConversion"/>
  </si>
  <si>
    <t>[House.name] 需要建造 [House.pre_house.level] 级 [House.pre_house.house:name]后，可继续升级。</t>
    <phoneticPr fontId="3" type="noConversion"/>
  </si>
  <si>
    <t>{0} 增筑 [House.name] 所需银钱不足。</t>
    <phoneticPr fontId="3" type="noConversion"/>
  </si>
  <si>
    <t>[House.pre_house.house:name] 扩建至 [House.name] 所需银钱不足。</t>
    <phoneticPr fontId="3" type="noConversion"/>
  </si>
  <si>
    <t>建筑增筑：前置建筑，{0}=进行增筑的本体建筑名称</t>
    <phoneticPr fontId="3" type="noConversion"/>
  </si>
  <si>
    <t>建筑增筑：建筑费用，{0}=进行增筑的本体建筑名称</t>
    <phoneticPr fontId="3" type="noConversion"/>
  </si>
  <si>
    <t>岗位分配：待业平民不足</t>
    <phoneticPr fontId="3" type="noConversion"/>
  </si>
  <si>
    <t>待业平民数量不足。</t>
    <phoneticPr fontId="3" type="noConversion"/>
  </si>
  <si>
    <t>主/支线任务：领取，Task.type=1/2</t>
    <phoneticPr fontId="3" type="noConversion"/>
  </si>
  <si>
    <t>主/支线任务：完成，Task.type=1/2</t>
    <phoneticPr fontId="3" type="noConversion"/>
  </si>
  <si>
    <t>县衙任务：领取，Task.type=3</t>
    <phoneticPr fontId="3" type="noConversion"/>
  </si>
  <si>
    <t>县衙任务：交付，Task.type=3</t>
    <phoneticPr fontId="3" type="noConversion"/>
  </si>
  <si>
    <t>捕房任务：进行，Task.type=4</t>
    <phoneticPr fontId="3" type="noConversion"/>
  </si>
  <si>
    <t>捕房任务：完成，Task.type=4</t>
    <phoneticPr fontId="3" type="noConversion"/>
  </si>
  <si>
    <t>任务 [Task.name] 领取</t>
    <phoneticPr fontId="3" type="noConversion"/>
  </si>
  <si>
    <t>任务 [Task.name] 完成</t>
    <phoneticPr fontId="3" type="noConversion"/>
  </si>
  <si>
    <t>任务 [Task.name] 结束</t>
    <phoneticPr fontId="3" type="noConversion"/>
  </si>
  <si>
    <t>官署事件抵达</t>
    <phoneticPr fontId="3" type="noConversion"/>
  </si>
  <si>
    <t>官署事件处理</t>
    <phoneticPr fontId="3" type="noConversion"/>
  </si>
  <si>
    <t>官署事件完成</t>
    <phoneticPr fontId="3" type="noConversion"/>
  </si>
  <si>
    <t>[GameEvent.name]</t>
    <phoneticPr fontId="3" type="noConversion"/>
  </si>
  <si>
    <t>[GameEvent.desc]</t>
    <phoneticPr fontId="3" type="noConversion"/>
  </si>
  <si>
    <t>[GameEvent.res]</t>
    <phoneticPr fontId="3" type="noConversion"/>
  </si>
  <si>
    <t>官署事件堆积</t>
    <phoneticPr fontId="3" type="noConversion"/>
  </si>
  <si>
    <t>官署事件：[GameEvent.name]</t>
    <phoneticPr fontId="3" type="noConversion"/>
  </si>
  <si>
    <t>trigger_prompt</t>
    <phoneticPr fontId="3" type="noConversion"/>
  </si>
  <si>
    <t>触发提示</t>
    <phoneticPr fontId="3" type="noConversion"/>
  </si>
  <si>
    <t>事件触发时，播放的Prompt提示，= Prompt.id</t>
    <phoneticPr fontId="3" type="noConversion"/>
  </si>
  <si>
    <t>官署事件超时</t>
    <phoneticPr fontId="3" type="noConversion"/>
  </si>
  <si>
    <t>事件触发（角色事件）</t>
    <phoneticPr fontId="3" type="noConversion"/>
  </si>
  <si>
    <t>事件触发（县衙任务事件）</t>
    <phoneticPr fontId="3" type="noConversion"/>
  </si>
  <si>
    <t>事件触发（捕房任务事件）</t>
    <phoneticPr fontId="3" type="noConversion"/>
  </si>
  <si>
    <t>事件触发（公告板全局事件）</t>
    <phoneticPr fontId="3" type="noConversion"/>
  </si>
  <si>
    <t>事件触发（公告板任务事件）</t>
    <phoneticPr fontId="3" type="noConversion"/>
  </si>
  <si>
    <t>游戏暂停提示</t>
    <phoneticPr fontId="3" type="noConversion"/>
  </si>
  <si>
    <t>游戏调速提示</t>
    <phoneticPr fontId="3" type="noConversion"/>
  </si>
  <si>
    <t>[Item.res]</t>
    <phoneticPr fontId="3" type="noConversion"/>
  </si>
  <si>
    <t>游戏暂停</t>
    <phoneticPr fontId="3" type="noConversion"/>
  </si>
  <si>
    <t>一般物品获得提示，{0}=变更数量</t>
    <phoneticPr fontId="3" type="noConversion"/>
  </si>
  <si>
    <t>一般物品扣除提示，{0}=变更数量</t>
    <phoneticPr fontId="3" type="noConversion"/>
  </si>
  <si>
    <t>HUD资源扣除提示，{0}=变更数量</t>
    <phoneticPr fontId="3" type="noConversion"/>
  </si>
  <si>
    <t>HUD资源获得提示，{0}=变更数量</t>
    <phoneticPr fontId="3" type="noConversion"/>
  </si>
  <si>
    <t>游戏速度 [GameSettings.speed:txt]</t>
    <phoneticPr fontId="3" type="noConversion"/>
  </si>
  <si>
    <t>[Task.desc]</t>
    <phoneticPr fontId="3" type="noConversion"/>
  </si>
  <si>
    <t>等待处理</t>
    <phoneticPr fontId="3" type="noConversion"/>
  </si>
  <si>
    <t>因官署事件堆积无法处理</t>
    <phoneticPr fontId="3" type="noConversion"/>
  </si>
  <si>
    <t>等待时间太长无法处理</t>
    <phoneticPr fontId="3" type="noConversion"/>
  </si>
  <si>
    <t>开始处理</t>
    <phoneticPr fontId="3" type="noConversion"/>
  </si>
  <si>
    <t>处理完成</t>
    <phoneticPr fontId="3" type="noConversion"/>
  </si>
  <si>
    <t>11,0;12,0;13,0;14,0;15,0;16,0</t>
    <phoneticPr fontId="3" type="noConversion"/>
  </si>
  <si>
    <t>1,20,1000;2,-2,0;4,-1,200</t>
    <phoneticPr fontId="3" type="noConversion"/>
  </si>
  <si>
    <t>负责物资搬运、运输的工作（粮仓）</t>
    <phoneticPr fontId="3" type="noConversion"/>
  </si>
  <si>
    <t>负责物资搬运、运输的工作（库房）</t>
    <phoneticPr fontId="3" type="noConversion"/>
  </si>
  <si>
    <t>BanYunGong01</t>
    <phoneticPr fontId="3" type="noConversion"/>
  </si>
  <si>
    <t>BanYunGong02</t>
    <phoneticPr fontId="3" type="noConversion"/>
  </si>
  <si>
    <t>10500002,1|10500002,2|10500002,3</t>
    <phoneticPr fontId="3" type="noConversion"/>
  </si>
  <si>
    <t>10500005,1|10500005,2|10500005,3</t>
    <phoneticPr fontId="3" type="noConversion"/>
  </si>
  <si>
    <t>10500004,2|10500004,3|10500004,3</t>
    <phoneticPr fontId="3" type="noConversion"/>
  </si>
  <si>
    <t>10500006,1|10500006,2|10500006,3</t>
    <phoneticPr fontId="3" type="noConversion"/>
  </si>
  <si>
    <t>建筑物可分配的岗位列表，包括岗位= RoleJob.id，及其数量上限max</t>
    <phoneticPr fontId="3" type="noConversion"/>
  </si>
  <si>
    <t>4002,31106001,0,1;1011,31106001,10511001,2;4002,31103001,0,1</t>
    <phoneticPr fontId="3" type="noConversion"/>
  </si>
  <si>
    <t>1021,10500102,0,3</t>
    <phoneticPr fontId="3" type="noConversion"/>
  </si>
  <si>
    <t>-----系统组-----</t>
    <phoneticPr fontId="3" type="noConversion"/>
  </si>
  <si>
    <t>-----角色组(操作)-----</t>
    <phoneticPr fontId="3" type="noConversion"/>
  </si>
  <si>
    <t>-----角色组(AI)-----</t>
    <phoneticPr fontId="3" type="noConversion"/>
  </si>
  <si>
    <t>-----物品组-----</t>
    <phoneticPr fontId="3" type="noConversion"/>
  </si>
  <si>
    <t>-----建筑组-----</t>
    <phoneticPr fontId="3" type="noConversion"/>
  </si>
  <si>
    <t>-----任务组(章节)-----</t>
    <phoneticPr fontId="3" type="noConversion"/>
  </si>
  <si>
    <t>-----任务组(任务)-----</t>
    <phoneticPr fontId="3" type="noConversion"/>
  </si>
  <si>
    <t>-----任务组(事件)-----</t>
    <phoneticPr fontId="3" type="noConversion"/>
  </si>
  <si>
    <t>建筑分类枚举：0=插件，1=主阁，2=政务，3=仓储，4=住宅，5=产销，6=资源，7=农牧，8=生产，9=销售，98=装饰，99=道路，…</t>
    <phoneticPr fontId="3" type="noConversion"/>
  </si>
  <si>
    <t>[Role:name] 被你赶走了</t>
    <phoneticPr fontId="3" type="noConversion"/>
  </si>
  <si>
    <t>角色被驱逐提示</t>
    <phoneticPr fontId="3" type="noConversion"/>
  </si>
  <si>
    <t>[Role:name] 伤心的离开了</t>
    <phoneticPr fontId="3" type="noConversion"/>
  </si>
  <si>
    <t>角色自动离开提示</t>
    <phoneticPr fontId="3" type="noConversion"/>
  </si>
  <si>
    <t>roleDesireChangeFix(0,power)</t>
    <phoneticPr fontId="3" type="noConversion"/>
  </si>
  <si>
    <t>roleDesireChangeFix(1,power)</t>
  </si>
  <si>
    <t>roleDesireChangeFix(2,power)</t>
  </si>
  <si>
    <t>roleDesireChangeFix(3,power)</t>
  </si>
  <si>
    <t>roleDesireChangeFix(4,power)</t>
  </si>
  <si>
    <t>roleDesireRaiseFix(0,power)</t>
    <phoneticPr fontId="3" type="noConversion"/>
  </si>
  <si>
    <t>roleDesireRaiseFix(1,power)</t>
  </si>
  <si>
    <t>roleDesireRaiseFix(2,power)</t>
  </si>
  <si>
    <t>roleDesireRaiseFix(3,power)</t>
  </si>
  <si>
    <t>roleDesireRaiseFix(4,power)</t>
  </si>
  <si>
    <t>角色需求提升速度修正，0=全部</t>
    <phoneticPr fontId="3" type="noConversion"/>
  </si>
  <si>
    <t>角色需求提升速度修正，1=食物</t>
    <phoneticPr fontId="3" type="noConversion"/>
  </si>
  <si>
    <t>角色需求提升速度修正，2=精神</t>
    <phoneticPr fontId="3" type="noConversion"/>
  </si>
  <si>
    <t>角色需求提升速度修正，4=职业</t>
    <phoneticPr fontId="3" type="noConversion"/>
  </si>
  <si>
    <t>角色需求提升速度修正，3=卫生</t>
    <phoneticPr fontId="3" type="noConversion"/>
  </si>
  <si>
    <t>角色需求变更速度修正，0=全部</t>
  </si>
  <si>
    <t>角色需求变更速度修正，1=食物</t>
  </si>
  <si>
    <t>角色需求变更速度修正，2=精神</t>
  </si>
  <si>
    <t>角色需求变更速度修正，3=卫生</t>
  </si>
  <si>
    <t>角色需求变更速度修正，4=职业</t>
  </si>
  <si>
    <t>12308001,10</t>
  </si>
  <si>
    <t>12304201,10</t>
  </si>
  <si>
    <t>12399003,30%</t>
  </si>
  <si>
    <t>12399002,30%</t>
  </si>
  <si>
    <t>12301007,3;12301008,-1;12399001,20%</t>
  </si>
  <si>
    <t>12301002,2;12311000,-20%</t>
  </si>
  <si>
    <t>12301006,3;12307002,-20%</t>
  </si>
  <si>
    <t>12301004,2;12307002,-20%</t>
  </si>
  <si>
    <t>12307003,-20%</t>
  </si>
  <si>
    <t>12307003,30%</t>
  </si>
  <si>
    <t>12301001,-2;12303001,-200;12307001,-10%</t>
  </si>
  <si>
    <t>12301008,3;12303003,200</t>
  </si>
  <si>
    <t>12303001,300</t>
    <phoneticPr fontId="3" type="noConversion"/>
  </si>
  <si>
    <t>角色工作能力修正，0=全部（预留）</t>
    <phoneticPr fontId="3" type="noConversion"/>
  </si>
  <si>
    <t>角色需求上限值修正，0=全部</t>
    <phoneticPr fontId="3" type="noConversion"/>
  </si>
  <si>
    <t>角色需求上限值修正，1=食物</t>
    <phoneticPr fontId="3" type="noConversion"/>
  </si>
  <si>
    <t>角色需求上限值修正，2=精神</t>
    <phoneticPr fontId="3" type="noConversion"/>
  </si>
  <si>
    <t>角色需求上限值修正，3=卫生</t>
    <phoneticPr fontId="3" type="noConversion"/>
  </si>
  <si>
    <t>角色需求上限值修正，4=职业</t>
    <phoneticPr fontId="3" type="noConversion"/>
  </si>
  <si>
    <t>roleDesireCurFix(0,power)</t>
    <phoneticPr fontId="3" type="noConversion"/>
  </si>
  <si>
    <t>角色需求当前值修正，0=全部</t>
    <phoneticPr fontId="3" type="noConversion"/>
  </si>
  <si>
    <t>roleDesireCurFix(1,power)</t>
  </si>
  <si>
    <t>角色需求当前值修正，1=食物</t>
    <phoneticPr fontId="3" type="noConversion"/>
  </si>
  <si>
    <t>roleDesireCurFix(2,power)</t>
  </si>
  <si>
    <t>roleDesireCurFix(3,power)</t>
  </si>
  <si>
    <t>角色需求当前值修正，3=卫生</t>
    <phoneticPr fontId="3" type="noConversion"/>
  </si>
  <si>
    <t>roleDesireCurFix(4,power)</t>
  </si>
  <si>
    <t>角色需求当前值修正，4=职业</t>
    <phoneticPr fontId="3" type="noConversion"/>
  </si>
  <si>
    <t>工作任务评分修正，0=全部（待定）</t>
    <phoneticPr fontId="3" type="noConversion"/>
  </si>
  <si>
    <t>好感度修正（待定）</t>
    <phoneticPr fontId="3" type="noConversion"/>
  </si>
  <si>
    <t>巡逻事件几率修正（待定）</t>
    <phoneticPr fontId="3" type="noConversion"/>
  </si>
  <si>
    <t>roleSpeedFix(power)</t>
    <phoneticPr fontId="3" type="noConversion"/>
  </si>
  <si>
    <t>角色移动速度修正</t>
    <phoneticPr fontId="3" type="noConversion"/>
  </si>
  <si>
    <t>12309001,-8</t>
  </si>
  <si>
    <t>12309001,-3</t>
  </si>
  <si>
    <t>12309001,3</t>
  </si>
  <si>
    <t>12309001,8</t>
  </si>
  <si>
    <t>12309001,-5</t>
  </si>
  <si>
    <t>12309000,10</t>
  </si>
  <si>
    <t>12310001,30</t>
  </si>
  <si>
    <t>12301000,-20%;12310001,200</t>
  </si>
  <si>
    <t>12301000,-50%;12310001,500</t>
  </si>
  <si>
    <t>roleWorkAbilityFix(power)</t>
    <phoneticPr fontId="3" type="noConversion"/>
  </si>
  <si>
    <t>工作坊掉落间隔修正，1=ScenePart.raise_duration_sec</t>
    <phoneticPr fontId="3" type="noConversion"/>
  </si>
  <si>
    <t>工作坊掉落间隔修正，2=ScenePart.gain_duration_sec</t>
    <phoneticPr fontId="3" type="noConversion"/>
  </si>
  <si>
    <t>工作坊掉落间隔修正，3=Formula.output_interval_sec</t>
    <phoneticPr fontId="3" type="noConversion"/>
  </si>
  <si>
    <t>behaviorWeightFix(RestRelax,power)</t>
    <phoneticPr fontId="3" type="noConversion"/>
  </si>
  <si>
    <t>workIntervalFix(0,power)</t>
    <phoneticPr fontId="3" type="noConversion"/>
  </si>
  <si>
    <t>workIntervalFix(1,power)</t>
  </si>
  <si>
    <t>workIntervalFix(2,power)</t>
  </si>
  <si>
    <t>workIntervalFix(3,power)</t>
  </si>
  <si>
    <t>修缮 [House.name] 需要花费花费 {0} 银钱。\n&lt;#FF0000&gt;当前银钱不足&lt;/color&gt;。</t>
    <phoneticPr fontId="3" type="noConversion"/>
  </si>
  <si>
    <t>log_style</t>
    <phoneticPr fontId="3" type="noConversion"/>
  </si>
  <si>
    <t>日志样式</t>
    <phoneticPr fontId="3" type="noConversion"/>
  </si>
  <si>
    <t>提示消息进入游戏日志列表的样式枚举，null=不需要记入日志</t>
    <phoneticPr fontId="3" type="noConversion"/>
  </si>
  <si>
    <t>角色加入提示</t>
    <phoneticPr fontId="3" type="noConversion"/>
  </si>
  <si>
    <t>Confirm,接受;Cancel,拒绝</t>
    <phoneticPr fontId="3" type="noConversion"/>
  </si>
  <si>
    <t>有新的[Role:name|流浪者] 有意加入</t>
    <phoneticPr fontId="3" type="noConversion"/>
  </si>
  <si>
    <t>县尉</t>
    <phoneticPr fontId="3" type="noConversion"/>
  </si>
  <si>
    <t>XianWei</t>
    <phoneticPr fontId="3" type="noConversion"/>
  </si>
  <si>
    <t>返回主菜单提示</t>
    <phoneticPr fontId="3" type="noConversion"/>
  </si>
  <si>
    <t>退出游戏将会失去所有未保存的进度，是否立即退出？</t>
    <phoneticPr fontId="3" type="noConversion"/>
  </si>
  <si>
    <t>ArrowUp</t>
    <phoneticPr fontId="3" type="noConversion"/>
  </si>
  <si>
    <t>ArroeDown</t>
    <phoneticPr fontId="3" type="noConversion"/>
  </si>
  <si>
    <t>&lt;color=#E9170A&gt;-{0}&lt;/color&gt;</t>
    <phoneticPr fontId="3" type="noConversion"/>
  </si>
  <si>
    <t>&lt;color=#03B007&gt;+{0}&lt;/color&gt;</t>
    <phoneticPr fontId="3" type="noConversion"/>
  </si>
  <si>
    <t>[Item.name] &lt;color=#E9170A&gt;- {0}&lt;/color&gt;</t>
    <phoneticPr fontId="3" type="noConversion"/>
  </si>
  <si>
    <t>[Item.name] &lt;color=#03B007&gt;+ {0}&lt;/color&gt;</t>
    <phoneticPr fontId="3" type="noConversion"/>
  </si>
  <si>
    <t>建筑建造：建造取消二次确认***（预留）</t>
    <phoneticPr fontId="3" type="noConversion"/>
  </si>
  <si>
    <t>建筑建造：不能摆放位置</t>
    <phoneticPr fontId="3" type="noConversion"/>
  </si>
  <si>
    <t>此地不适合建造！</t>
    <phoneticPr fontId="3" type="noConversion"/>
  </si>
  <si>
    <t>提示消息类型枚举，如：0-飘窗提示(无图标),1-飘窗提示(有图标)，2-确认提示，3-警告提示，4-跳转提示，11任务提示（单行），12任务提示（双行），13中屏强弹事件</t>
    <phoneticPr fontId="3" type="noConversion"/>
  </si>
  <si>
    <t>house_temp_worker_max</t>
    <phoneticPr fontId="3" type="noConversion"/>
  </si>
  <si>
    <t>array["type:int","cnt:int"]</t>
    <phoneticPr fontId="3" type="noConversion"/>
  </si>
  <si>
    <t>JiZi</t>
  </si>
  <si>
    <t>鸡仔</t>
  </si>
  <si>
    <t>鸡的幼崽</t>
  </si>
  <si>
    <t>XiaoJiangGuoShu</t>
  </si>
  <si>
    <t>小鸡</t>
  </si>
  <si>
    <t>还未长大的鸡</t>
  </si>
  <si>
    <t>30305011</t>
  </si>
  <si>
    <t>Ji</t>
  </si>
  <si>
    <t>最容易饲养的家禽，可提供禽肉、蛋</t>
  </si>
  <si>
    <t>Kill</t>
  </si>
  <si>
    <t>NiuDu</t>
  </si>
  <si>
    <t>牛犊</t>
  </si>
  <si>
    <t>牛的幼崽</t>
  </si>
  <si>
    <t>30315013</t>
  </si>
  <si>
    <t>XiaoNiu</t>
  </si>
  <si>
    <t>小牛</t>
  </si>
  <si>
    <t>还未长大的牛</t>
  </si>
  <si>
    <t>Niu</t>
  </si>
  <si>
    <t>饲养的大型家畜，可提供畜肉、奶、皮革</t>
  </si>
  <si>
    <t>YangGao</t>
  </si>
  <si>
    <t>羊羔</t>
  </si>
  <si>
    <t>羊的幼崽</t>
  </si>
  <si>
    <t>30315016</t>
  </si>
  <si>
    <t>XiaoYang</t>
  </si>
  <si>
    <t>小羊</t>
  </si>
  <si>
    <t>还未长大的羊</t>
  </si>
  <si>
    <t>30305017</t>
  </si>
  <si>
    <t>Yang</t>
  </si>
  <si>
    <t>饲养的中型家畜，可提供畜肉、奶、羊毛</t>
  </si>
  <si>
    <t>鸡(屠宰中)</t>
    <phoneticPr fontId="3" type="noConversion"/>
  </si>
  <si>
    <t>牛(屠宰中)</t>
    <phoneticPr fontId="3" type="noConversion"/>
  </si>
  <si>
    <t>羊(屠宰中)</t>
    <phoneticPr fontId="3" type="noConversion"/>
  </si>
  <si>
    <t>JiBody</t>
    <phoneticPr fontId="3" type="noConversion"/>
  </si>
  <si>
    <t>NiuBody</t>
    <phoneticPr fontId="3" type="noConversion"/>
  </si>
  <si>
    <t>YangBody</t>
    <phoneticPr fontId="3" type="noConversion"/>
  </si>
  <si>
    <t>标签适用分类枚举：0=全局标签，1 = 角色标签，2 = 幸福度标签，3 = 建筑标签，4 = AI标签，……</t>
    <phoneticPr fontId="3" type="noConversion"/>
  </si>
  <si>
    <t>睡地上</t>
    <phoneticPr fontId="3" type="noConversion"/>
  </si>
  <si>
    <t>等好久</t>
  </si>
  <si>
    <t>地上吃</t>
  </si>
  <si>
    <t>没食堂</t>
  </si>
  <si>
    <t>吃生食</t>
  </si>
  <si>
    <t>吃坏了</t>
  </si>
  <si>
    <t>饿死了</t>
  </si>
  <si>
    <t>200,0</t>
    <phoneticPr fontId="3" type="noConversion"/>
  </si>
  <si>
    <t>300,0</t>
    <phoneticPr fontId="3" type="noConversion"/>
  </si>
  <si>
    <t>没有分配住宅，差评</t>
    <phoneticPr fontId="3" type="noConversion"/>
  </si>
  <si>
    <t>食堂排队等待时间太长了</t>
    <phoneticPr fontId="3" type="noConversion"/>
  </si>
  <si>
    <t>食堂里座位不够</t>
    <phoneticPr fontId="3" type="noConversion"/>
  </si>
  <si>
    <t>只能自己去找食物吃</t>
    <phoneticPr fontId="3" type="noConversion"/>
  </si>
  <si>
    <t>饥饿难耐，只能吃食材</t>
    <phoneticPr fontId="3" type="noConversion"/>
  </si>
  <si>
    <t>因为吃生食，吃坏了肚子</t>
    <phoneticPr fontId="3" type="noConversion"/>
  </si>
  <si>
    <t>找不到任何可以吃的，太饿了</t>
    <phoneticPr fontId="3" type="noConversion"/>
  </si>
  <si>
    <t>3,1;4,1</t>
    <phoneticPr fontId="3" type="noConversion"/>
  </si>
  <si>
    <t>出售各类食物</t>
    <phoneticPr fontId="3" type="noConversion"/>
  </si>
  <si>
    <t>出售各类酒品</t>
    <phoneticPr fontId="3" type="noConversion"/>
  </si>
  <si>
    <t>酒庄</t>
    <phoneticPr fontId="3" type="noConversion"/>
  </si>
  <si>
    <t>JiuZhuang</t>
    <phoneticPr fontId="3" type="noConversion"/>
  </si>
  <si>
    <t>食坊</t>
    <phoneticPr fontId="3" type="noConversion"/>
  </si>
  <si>
    <t>ShiFang</t>
    <phoneticPr fontId="3" type="noConversion"/>
  </si>
  <si>
    <t>hunt_step_hunter_max</t>
    <phoneticPr fontId="3" type="noConversion"/>
  </si>
  <si>
    <t>狩猎环节猎手最大数量：环节、最大值</t>
    <phoneticPr fontId="3" type="noConversion"/>
  </si>
  <si>
    <t>array["step:int","cnt:int"]</t>
    <phoneticPr fontId="3" type="noConversion"/>
  </si>
  <si>
    <t>1,3</t>
    <phoneticPr fontId="3" type="noConversion"/>
  </si>
  <si>
    <t>建筑临时工最大数量：类型、最大值（目前仅针对type=1，即官署）</t>
    <phoneticPr fontId="3" type="noConversion"/>
  </si>
  <si>
    <t>CaiZhaiGong</t>
    <phoneticPr fontId="3" type="noConversion"/>
  </si>
  <si>
    <t>预留</t>
    <phoneticPr fontId="3" type="noConversion"/>
  </si>
  <si>
    <t>0,3;1,3;2,1;3,1</t>
    <phoneticPr fontId="3" type="noConversion"/>
  </si>
  <si>
    <t>游戏回复</t>
    <phoneticPr fontId="3" type="noConversion"/>
  </si>
  <si>
    <t>1,-1</t>
    <phoneticPr fontId="3" type="noConversion"/>
  </si>
  <si>
    <t>GuanShe</t>
    <phoneticPr fontId="3" type="noConversion"/>
  </si>
  <si>
    <t>官舍</t>
    <phoneticPr fontId="3" type="noConversion"/>
  </si>
  <si>
    <t>提供佐官住所</t>
    <phoneticPr fontId="3" type="noConversion"/>
  </si>
  <si>
    <t>1,1</t>
    <phoneticPr fontId="3" type="noConversion"/>
  </si>
  <si>
    <t>4,4,4</t>
    <phoneticPr fontId="3" type="noConversion"/>
  </si>
  <si>
    <t>Pleb;0</t>
    <phoneticPr fontId="3" type="noConversion"/>
  </si>
  <si>
    <t>Gentry;0</t>
    <phoneticPr fontId="3" type="noConversion"/>
  </si>
  <si>
    <t>AI.SB_RestRelax</t>
  </si>
  <si>
    <t>休息放松</t>
    <phoneticPr fontId="3" type="noConversion"/>
  </si>
  <si>
    <t>AI.SB_GoSleep</t>
  </si>
  <si>
    <t>AI.SB_MustEat</t>
  </si>
  <si>
    <t>AI.SB_MustSleep</t>
  </si>
  <si>
    <t>AI.SB_TakeFood</t>
  </si>
  <si>
    <t>AI.SB_WorkBuilder</t>
  </si>
  <si>
    <t>AI.SB_WorkCarrier</t>
  </si>
  <si>
    <t>AI.SB_WorkHew</t>
  </si>
  <si>
    <t>AI.SB_WorkHunter</t>
  </si>
  <si>
    <t>AI.SB_WorkJunkman</t>
  </si>
  <si>
    <t>AI.SB_WorkPantryman</t>
  </si>
  <si>
    <t>AI.SB_WorkPickaxe</t>
  </si>
  <si>
    <t>AI.SB_WorkPluck</t>
  </si>
  <si>
    <t>AI.SB_WorkPorter</t>
  </si>
  <si>
    <t>AI.SB_WorkProducer</t>
  </si>
  <si>
    <t>AI.SB_WorkShopman</t>
  </si>
  <si>
    <t>AI.ACT.standby</t>
  </si>
  <si>
    <t>AI.ACT.roamWalk</t>
  </si>
  <si>
    <t>AI.ACT.noFood</t>
  </si>
  <si>
    <t>AI.ACT.noJob</t>
  </si>
  <si>
    <t>AI.ACT.unhappy</t>
  </si>
  <si>
    <t>AI.ACT.destroyLoad</t>
  </si>
  <si>
    <t>AI.ACT.goSleep</t>
  </si>
  <si>
    <t>AI.ACT.backUnload</t>
  </si>
  <si>
    <t>AI.ACT.goGround</t>
  </si>
  <si>
    <t>AI.ACT.goBuild</t>
  </si>
  <si>
    <t>AI.ACT.goUnload</t>
  </si>
  <si>
    <t>AI.ACT.goPluck</t>
  </si>
  <si>
    <t>AI.ACT.goHew</t>
  </si>
  <si>
    <t>AI.ACT.goPickaxe</t>
  </si>
  <si>
    <t>AI.ACT.goPick</t>
  </si>
  <si>
    <t>AI.ACT.goHunt</t>
  </si>
  <si>
    <t>AI.ACT.goButcher</t>
  </si>
  <si>
    <t>AI.ACT.goCarry</t>
  </si>
  <si>
    <t>AI.ACT.goTakeEat</t>
  </si>
  <si>
    <t>AI.ACT.goMake</t>
  </si>
  <si>
    <t>AI.ACT.goSupply</t>
  </si>
  <si>
    <t>AI.ACT.goTake</t>
  </si>
  <si>
    <t>AI.ACT.goEat</t>
  </si>
  <si>
    <t>AI.ACT.goWaitTakeLine</t>
  </si>
  <si>
    <t>想要睡觉</t>
    <phoneticPr fontId="3" type="noConversion"/>
  </si>
  <si>
    <t>想要进食</t>
    <phoneticPr fontId="3" type="noConversion"/>
  </si>
  <si>
    <t>需要进食</t>
    <phoneticPr fontId="3" type="noConversion"/>
  </si>
  <si>
    <t>需要睡觉</t>
    <phoneticPr fontId="3" type="noConversion"/>
  </si>
  <si>
    <t>正在工作</t>
    <phoneticPr fontId="3" type="noConversion"/>
  </si>
  <si>
    <t>原地发呆</t>
    <phoneticPr fontId="3" type="noConversion"/>
  </si>
  <si>
    <t>附近走动</t>
    <phoneticPr fontId="3" type="noConversion"/>
  </si>
  <si>
    <t>抱怨没有食物</t>
  </si>
  <si>
    <t>抱怨没有工作</t>
  </si>
  <si>
    <t>抱怨不幸福</t>
  </si>
  <si>
    <t>清理垃圾</t>
  </si>
  <si>
    <t>返回官署</t>
    <phoneticPr fontId="3" type="noConversion"/>
  </si>
  <si>
    <t>返回工作建筑</t>
    <phoneticPr fontId="3" type="noConversion"/>
  </si>
  <si>
    <t>前往建造目标</t>
    <phoneticPr fontId="3" type="noConversion"/>
  </si>
  <si>
    <t>前往采集点</t>
    <phoneticPr fontId="3" type="noConversion"/>
  </si>
  <si>
    <t>前往伐木点</t>
    <phoneticPr fontId="3" type="noConversion"/>
  </si>
  <si>
    <t>前往开采点</t>
    <phoneticPr fontId="3" type="noConversion"/>
  </si>
  <si>
    <t>前往取货</t>
    <phoneticPr fontId="3" type="noConversion"/>
  </si>
  <si>
    <t>前往取食</t>
    <phoneticPr fontId="3" type="noConversion"/>
  </si>
  <si>
    <t>前往制作</t>
    <phoneticPr fontId="3" type="noConversion"/>
  </si>
  <si>
    <t>前往供应</t>
    <phoneticPr fontId="3" type="noConversion"/>
  </si>
  <si>
    <t>前往领取</t>
    <phoneticPr fontId="3" type="noConversion"/>
  </si>
  <si>
    <t>前往领取队伍</t>
    <phoneticPr fontId="3" type="noConversion"/>
  </si>
  <si>
    <t>进入【子行为树】画布，显示的行为目标</t>
    <phoneticPr fontId="3" type="noConversion"/>
  </si>
  <si>
    <t>进入【ACT行为】节点，显示的行为状态，单一执行行为直接显示节点文本</t>
    <phoneticPr fontId="3" type="noConversion"/>
  </si>
  <si>
    <t>goDo类行为，go～阶段显示节点文本，～Do阶段显示RoleAction名称</t>
    <phoneticPr fontId="3" type="noConversion"/>
  </si>
  <si>
    <t>目标可解析为动态文本时，显示GameDict.txt</t>
    <phoneticPr fontId="3" type="noConversion"/>
  </si>
  <si>
    <t>前往开采 [target]</t>
    <phoneticPr fontId="3" type="noConversion"/>
  </si>
  <si>
    <t>前往砍伐 [target]</t>
    <phoneticPr fontId="3" type="noConversion"/>
  </si>
  <si>
    <t>前往采摘 [target]</t>
    <phoneticPr fontId="3" type="noConversion"/>
  </si>
  <si>
    <t>前往 [house] 睡觉</t>
    <phoneticPr fontId="3" type="noConversion"/>
  </si>
  <si>
    <t>前往 [house] 整地</t>
    <phoneticPr fontId="3" type="noConversion"/>
  </si>
  <si>
    <t>前往 [house]建造</t>
    <phoneticPr fontId="3" type="noConversion"/>
  </si>
  <si>
    <t>前往 [house] 卸货</t>
    <phoneticPr fontId="3" type="noConversion"/>
  </si>
  <si>
    <t>前往拾取 [target]</t>
    <phoneticPr fontId="3" type="noConversion"/>
  </si>
  <si>
    <t>前往狩猎 [target]</t>
    <phoneticPr fontId="3" type="noConversion"/>
  </si>
  <si>
    <t>前往屠宰 [target]</t>
    <phoneticPr fontId="3" type="noConversion"/>
  </si>
  <si>
    <t>前往 [house] 取货</t>
    <phoneticPr fontId="3" type="noConversion"/>
  </si>
  <si>
    <t>前往 [house] 取食</t>
    <phoneticPr fontId="3" type="noConversion"/>
  </si>
  <si>
    <t>前往 [house] 制作</t>
    <phoneticPr fontId="3" type="noConversion"/>
  </si>
  <si>
    <t>前往 [house] 领取 [item]</t>
    <phoneticPr fontId="3" type="noConversion"/>
  </si>
  <si>
    <t>前往 [house] 供应 [item]</t>
    <phoneticPr fontId="3" type="noConversion"/>
  </si>
  <si>
    <t>前往 [house] 就餐</t>
    <phoneticPr fontId="3" type="noConversion"/>
  </si>
  <si>
    <t>前往 [house] 等待领取</t>
    <phoneticPr fontId="3" type="noConversion"/>
  </si>
  <si>
    <t>前往座位就餐</t>
    <phoneticPr fontId="3" type="noConversion"/>
  </si>
  <si>
    <t>前往屠宰猎物</t>
    <phoneticPr fontId="3" type="noConversion"/>
  </si>
  <si>
    <t>前往狩猎猎物</t>
    <phoneticPr fontId="3" type="noConversion"/>
  </si>
  <si>
    <t>前往拾取</t>
    <phoneticPr fontId="3" type="noConversion"/>
  </si>
  <si>
    <t>目标不可解析时，显示GameDict.short_txt</t>
    <phoneticPr fontId="3" type="noConversion"/>
  </si>
  <si>
    <t>就地睡觉</t>
    <phoneticPr fontId="3" type="noConversion"/>
  </si>
  <si>
    <t>Story</t>
    <phoneticPr fontId="3" type="noConversion"/>
  </si>
  <si>
    <t>DialogTxt</t>
    <phoneticPr fontId="3" type="noConversion"/>
  </si>
  <si>
    <t>410xxxxx</t>
    <phoneticPr fontId="3" type="noConversion"/>
  </si>
  <si>
    <t>411xxxxx</t>
    <phoneticPr fontId="3" type="noConversion"/>
  </si>
  <si>
    <t>dt_name</t>
  </si>
  <si>
    <t>剧情编号</t>
  </si>
  <si>
    <t>剧情类型</t>
  </si>
  <si>
    <t>剧情名称</t>
  </si>
  <si>
    <t>剧情描述</t>
  </si>
  <si>
    <t>关联对话树</t>
  </si>
  <si>
    <t>8位数字编号，410xxyyy，xx=分类，yyy=纯流水编号</t>
  </si>
  <si>
    <t>剧情资源标识，关联剧情资源路径</t>
  </si>
  <si>
    <t>剧情类型枚举，1=当前场景剧情，2=2D场景剧情，3=3D场景剧情</t>
  </si>
  <si>
    <t>剧情名称文本，10个字符内</t>
  </si>
  <si>
    <t>剧情描述文本，40个字符内</t>
  </si>
  <si>
    <t>对话树资源标识，DT_$DtName</t>
  </si>
  <si>
    <t>对话树演员列表，包括：actor演员标识、role演员角色、name展示名称
actor默认SELF；role=RoleType()、RoleSex()、RoleId()、RoleTag()</t>
    <phoneticPr fontId="3" type="noConversion"/>
  </si>
  <si>
    <t>单人剧情测试</t>
    <phoneticPr fontId="3" type="noConversion"/>
  </si>
  <si>
    <t>双人剧情测试</t>
    <phoneticPr fontId="3" type="noConversion"/>
  </si>
  <si>
    <t>多人剧情测试</t>
    <phoneticPr fontId="3" type="noConversion"/>
  </si>
  <si>
    <t>testSingle</t>
    <phoneticPr fontId="3" type="noConversion"/>
  </si>
  <si>
    <t>testDouble</t>
    <phoneticPr fontId="3" type="noConversion"/>
  </si>
  <si>
    <t>testMultiple</t>
    <phoneticPr fontId="3" type="noConversion"/>
  </si>
  <si>
    <t>一个人自说自话的过程</t>
    <phoneticPr fontId="3" type="noConversion"/>
  </si>
  <si>
    <t>两人对话加选项</t>
    <phoneticPr fontId="3" type="noConversion"/>
  </si>
  <si>
    <t>多人群演</t>
    <phoneticPr fontId="3" type="noConversion"/>
  </si>
  <si>
    <t>testInHouse</t>
    <phoneticPr fontId="3" type="noConversion"/>
  </si>
  <si>
    <t>testOutdoor</t>
    <phoneticPr fontId="3" type="noConversion"/>
  </si>
  <si>
    <t>testStage</t>
    <phoneticPr fontId="3" type="noConversion"/>
  </si>
  <si>
    <t>李天</t>
    <phoneticPr fontId="3" type="noConversion"/>
  </si>
  <si>
    <t>SELF,10100001,0</t>
    <phoneticPr fontId="3" type="noConversion"/>
  </si>
  <si>
    <t>SELF,10100001,0;Messenger,10103002,0</t>
    <phoneticPr fontId="3" type="noConversion"/>
  </si>
  <si>
    <t>SELF,10100001,0;Officer,10102001,0;Thief,10103001,0;Civilian,10101001,0</t>
    <phoneticPr fontId="3" type="noConversion"/>
  </si>
  <si>
    <t>actor</t>
  </si>
  <si>
    <t>actor_name</t>
  </si>
  <si>
    <t>actor_portrait</t>
  </si>
  <si>
    <t>actor_offset</t>
  </si>
  <si>
    <t>actor_color</t>
  </si>
  <si>
    <t>audio</t>
  </si>
  <si>
    <t>对白编号</t>
  </si>
  <si>
    <t>所属对话树</t>
  </si>
  <si>
    <t>演员标识</t>
  </si>
  <si>
    <t>演员名称</t>
  </si>
  <si>
    <t>动态立绘</t>
  </si>
  <si>
    <t>立绘位置</t>
  </si>
  <si>
    <t>对白颜色</t>
  </si>
  <si>
    <t>对白文本</t>
  </si>
  <si>
    <t>对白音频</t>
  </si>
  <si>
    <t>8位数字编号，411xxxyy，xxx=分组，yy=纯流水编号</t>
  </si>
  <si>
    <t>演员标识key，保留标识：SELF等</t>
  </si>
  <si>
    <t>演员UI展示名称，null=默认RoleInfo.name</t>
  </si>
  <si>
    <t>演员动态立绘标识，POT_$RoleName@$EmotionName</t>
  </si>
  <si>
    <t>演员立绘默认UI位置，LEFT/RIGHT等枚举定义</t>
  </si>
  <si>
    <t>演员对白文本颜色，null=默认配色</t>
  </si>
  <si>
    <t>对白文本，支持富文本</t>
  </si>
  <si>
    <t>对白音频，关联CV、Audio等资源</t>
  </si>
  <si>
    <t>SELF</t>
    <phoneticPr fontId="3" type="noConversion"/>
  </si>
  <si>
    <t>Messenger</t>
    <phoneticPr fontId="3" type="noConversion"/>
  </si>
  <si>
    <t>Officer</t>
    <phoneticPr fontId="3" type="noConversion"/>
  </si>
  <si>
    <t>LEFT</t>
    <phoneticPr fontId="3" type="noConversion"/>
  </si>
  <si>
    <t>LiTian</t>
    <phoneticPr fontId="3" type="noConversion"/>
  </si>
  <si>
    <t>SiKao</t>
    <phoneticPr fontId="3" type="noConversion"/>
  </si>
  <si>
    <t>长夜漫漫，无心睡眠～～</t>
    <phoneticPr fontId="3" type="noConversion"/>
  </si>
  <si>
    <t>不如去找师姐嘿嘿嘿～～</t>
    <phoneticPr fontId="3" type="noConversion"/>
  </si>
  <si>
    <t>想来肯定是快活非常啊～～</t>
    <phoneticPr fontId="3" type="noConversion"/>
  </si>
  <si>
    <t>WeiXiao</t>
    <phoneticPr fontId="3" type="noConversion"/>
  </si>
  <si>
    <t>DaXiao</t>
    <phoneticPr fontId="3" type="noConversion"/>
  </si>
  <si>
    <t>WangBuTou</t>
    <phoneticPr fontId="3" type="noConversion"/>
  </si>
  <si>
    <t>大人～标下带来新的消息啦～～</t>
    <phoneticPr fontId="3" type="noConversion"/>
  </si>
  <si>
    <t>你先别说，让我猜一猜是什么消息！</t>
    <phoneticPr fontId="3" type="noConversion"/>
  </si>
  <si>
    <t>今天是肯德基疯狂星期四！</t>
    <phoneticPr fontId="3" type="noConversion"/>
  </si>
  <si>
    <t>今天是盒马会员日！</t>
    <phoneticPr fontId="3" type="noConversion"/>
  </si>
  <si>
    <t>大人，真是英明神武！</t>
    <phoneticPr fontId="3" type="noConversion"/>
  </si>
  <si>
    <t>大人～您可太自信了哦</t>
    <phoneticPr fontId="3" type="noConversion"/>
  </si>
  <si>
    <t>哈哈哈～V我50，走起～</t>
    <phoneticPr fontId="3" type="noConversion"/>
  </si>
  <si>
    <t>可恶！又失败了！</t>
    <phoneticPr fontId="3" type="noConversion"/>
  </si>
  <si>
    <t>YaoRao</t>
    <phoneticPr fontId="3" type="noConversion"/>
  </si>
  <si>
    <t>BaoLi</t>
    <phoneticPr fontId="3" type="noConversion"/>
  </si>
  <si>
    <t>ZiXin</t>
    <phoneticPr fontId="3" type="noConversion"/>
  </si>
  <si>
    <t>FenNu</t>
    <phoneticPr fontId="3" type="noConversion"/>
  </si>
  <si>
    <t>Civilian</t>
    <phoneticPr fontId="3" type="noConversion"/>
  </si>
  <si>
    <t>Thief</t>
    <phoneticPr fontId="3" type="noConversion"/>
  </si>
  <si>
    <t>LiuYuanWai</t>
    <phoneticPr fontId="3" type="noConversion"/>
  </si>
  <si>
    <t>LuoXiaoEr</t>
    <phoneticPr fontId="3" type="noConversion"/>
  </si>
  <si>
    <t>大人，堂下有人前来告状！</t>
    <phoneticPr fontId="3" type="noConversion"/>
  </si>
  <si>
    <t>哦，是何人告状？都带上堂来！</t>
    <phoneticPr fontId="3" type="noConversion"/>
  </si>
  <si>
    <t>原告 被告 上堂～～</t>
    <phoneticPr fontId="3" type="noConversion"/>
  </si>
  <si>
    <t>刘员外</t>
    <phoneticPr fontId="3" type="noConversion"/>
  </si>
  <si>
    <t>罗小二</t>
    <phoneticPr fontId="3" type="noConversion"/>
  </si>
  <si>
    <t>大人～学生乃本县员外刘某\n状告下河村 罗小二 偷了我家的牛！</t>
    <phoneticPr fontId="3" type="noConversion"/>
  </si>
  <si>
    <t>大堂之上，休要呱噪！\n带本官问清原由，自会秉公处置！</t>
    <phoneticPr fontId="3" type="noConversion"/>
  </si>
  <si>
    <t>刘员外，你家牛何时丢失？</t>
    <phoneticPr fontId="3" type="noConversion"/>
  </si>
  <si>
    <t>刘员外，你如何断定是罗小二偷了你家的牛？</t>
    <phoneticPr fontId="3" type="noConversion"/>
  </si>
  <si>
    <t>罗小二，你说被冤枉，可有凭据？</t>
    <phoneticPr fontId="3" type="noConversion"/>
  </si>
  <si>
    <t>回禀大人～\n我家的牛是三日前丢失的，前村后院遍寻不得～</t>
    <phoneticPr fontId="3" type="noConversion"/>
  </si>
  <si>
    <t>回禀大人～\n今日我们找到罗小二住处，正见得其家中烧牛肉羹，这破落户，哪来闲钱买牛肉，必然是偷了我家的牛！</t>
    <phoneticPr fontId="3" type="noConversion"/>
  </si>
  <si>
    <t>大人明鉴～\n我是昨日在城中【富贵赌坊】赢了3两银子，才去城东肉铺割了两斤牛肉回家做羹，此事都有人证的！</t>
    <phoneticPr fontId="3" type="noConversion"/>
  </si>
  <si>
    <t>大人，可有决断了？</t>
    <phoneticPr fontId="3" type="noConversion"/>
  </si>
  <si>
    <t>罗小二就是偷牛贼人！</t>
    <phoneticPr fontId="3" type="noConversion"/>
  </si>
  <si>
    <t>罗小二并非偷牛贼人！</t>
    <phoneticPr fontId="3" type="noConversion"/>
  </si>
  <si>
    <t>大人明鉴～多谢大人还我清白！</t>
    <phoneticPr fontId="3" type="noConversion"/>
  </si>
  <si>
    <t>大人～小的真是冤枉\n大人怎可不询问人证，就枉判人罪啊！</t>
    <phoneticPr fontId="3" type="noConversion"/>
  </si>
  <si>
    <t>大人……这……\n（这次让这厮逃过一劫）</t>
    <phoneticPr fontId="3" type="noConversion"/>
  </si>
  <si>
    <t>大人～小的下河村罗小二\n小的是被冤枉的～只因前番得罪刘员外……</t>
    <phoneticPr fontId="3" type="noConversion"/>
  </si>
  <si>
    <t>大人明察秋毫～\n（哼哼，看这厮以后还敢与我作对）</t>
    <phoneticPr fontId="3" type="noConversion"/>
  </si>
  <si>
    <t>大人此番断案，看来颇为清明</t>
    <phoneticPr fontId="3" type="noConversion"/>
  </si>
  <si>
    <t>YanShu</t>
    <phoneticPr fontId="3" type="noConversion"/>
  </si>
  <si>
    <t>TaoHao</t>
    <phoneticPr fontId="3" type="noConversion"/>
  </si>
  <si>
    <t>GanGa</t>
    <phoneticPr fontId="3" type="noConversion"/>
  </si>
  <si>
    <t>QiuRao</t>
    <phoneticPr fontId="3" type="noConversion"/>
  </si>
  <si>
    <t>GanJi</t>
    <phoneticPr fontId="3" type="noConversion"/>
  </si>
  <si>
    <t>YiHan</t>
    <phoneticPr fontId="3" type="noConversion"/>
  </si>
  <si>
    <t>大人还需多多历练啊……</t>
    <phoneticPr fontId="3" type="noConversion"/>
  </si>
  <si>
    <t>对白资源ResName标识，关联角色资源标识</t>
    <phoneticPr fontId="3" type="noConversion"/>
  </si>
  <si>
    <t>StoryTouNiuAn_001</t>
    <phoneticPr fontId="3" type="noConversion"/>
  </si>
  <si>
    <t>嗯，看来本案来龙去脉已经明了……</t>
    <phoneticPr fontId="3" type="noConversion"/>
  </si>
  <si>
    <t>那是自然，区区小案，如何难得倒我～</t>
    <phoneticPr fontId="3" type="noConversion"/>
  </si>
  <si>
    <t>#FF0000</t>
    <phoneticPr fontId="3" type="noConversion"/>
  </si>
  <si>
    <t>#0000FF</t>
    <phoneticPr fontId="3" type="noConversion"/>
  </si>
  <si>
    <t>培育消耗</t>
    <phoneticPr fontId="3" type="noConversion"/>
  </si>
  <si>
    <t>material</t>
    <phoneticPr fontId="3" type="noConversion"/>
  </si>
  <si>
    <t>raise_material</t>
    <phoneticPr fontId="3" type="noConversion"/>
  </si>
  <si>
    <t>array["actor:string","role:int","ai:string","position:string"]</t>
    <phoneticPr fontId="3" type="noConversion"/>
  </si>
  <si>
    <t>Messenger,10103003,GE01,POS(ManorGateway)</t>
    <phoneticPr fontId="3" type="noConversion"/>
  </si>
  <si>
    <t>Messenger,10103004,GE01,POS(ManorGateway)</t>
    <phoneticPr fontId="3" type="noConversion"/>
  </si>
  <si>
    <t>野猪</t>
    <phoneticPr fontId="3" type="noConversion"/>
  </si>
  <si>
    <t>YeZhu</t>
    <phoneticPr fontId="3" type="noConversion"/>
  </si>
  <si>
    <t>MuLiao</t>
    <phoneticPr fontId="3" type="noConversion"/>
  </si>
  <si>
    <t>BanCai</t>
    <phoneticPr fontId="3" type="noConversion"/>
  </si>
  <si>
    <t>ShiCai</t>
    <phoneticPr fontId="3" type="noConversion"/>
  </si>
  <si>
    <t>TieDing</t>
    <phoneticPr fontId="3" type="noConversion"/>
  </si>
  <si>
    <t>板材</t>
    <phoneticPr fontId="3" type="noConversion"/>
  </si>
  <si>
    <t>石材</t>
    <phoneticPr fontId="3" type="noConversion"/>
  </si>
  <si>
    <t>铁锭</t>
    <phoneticPr fontId="3" type="noConversion"/>
  </si>
  <si>
    <t>SiLiao</t>
    <phoneticPr fontId="3" type="noConversion"/>
  </si>
  <si>
    <t>FeiLiao</t>
    <phoneticPr fontId="3" type="noConversion"/>
  </si>
  <si>
    <t>饲料</t>
    <phoneticPr fontId="3" type="noConversion"/>
  </si>
  <si>
    <t>肥料</t>
    <phoneticPr fontId="3" type="noConversion"/>
  </si>
  <si>
    <t>木料</t>
    <phoneticPr fontId="3" type="noConversion"/>
  </si>
  <si>
    <t>基础木料加工而成</t>
    <phoneticPr fontId="3" type="noConversion"/>
  </si>
  <si>
    <t>基础石料加工而成</t>
    <phoneticPr fontId="3" type="noConversion"/>
  </si>
  <si>
    <t>基础铁矿加工而成</t>
    <phoneticPr fontId="3" type="noConversion"/>
  </si>
  <si>
    <t>饲养动物需要消耗的材料</t>
    <phoneticPr fontId="3" type="noConversion"/>
  </si>
  <si>
    <t>种植农作物需要消耗的材料</t>
    <phoneticPr fontId="3" type="noConversion"/>
  </si>
  <si>
    <t>20104001,1;20105102,1</t>
    <phoneticPr fontId="3" type="noConversion"/>
  </si>
  <si>
    <t>20104001,1;20105101,1</t>
    <phoneticPr fontId="3" type="noConversion"/>
  </si>
  <si>
    <t>20104001,2;20105101,2</t>
    <phoneticPr fontId="3" type="noConversion"/>
  </si>
  <si>
    <t>GongTang</t>
    <phoneticPr fontId="3" type="noConversion"/>
  </si>
  <si>
    <t>负责治安、抓捕、缉盗公署</t>
    <phoneticPr fontId="3" type="noConversion"/>
  </si>
  <si>
    <t>负责处理公事场所，可派驻师爷</t>
    <phoneticPr fontId="3" type="noConversion"/>
  </si>
  <si>
    <t>31101001,2;31101001,1|31101001,2|31101001,3</t>
    <phoneticPr fontId="3" type="noConversion"/>
  </si>
  <si>
    <t>10521001,1;10516001,3|10521001,1;10516001,4|10521001,1;10516001,5</t>
    <phoneticPr fontId="3" type="noConversion"/>
  </si>
  <si>
    <t>Civilian,10101001,GE01,RAD(Centre_100)</t>
    <phoneticPr fontId="3" type="noConversion"/>
  </si>
  <si>
    <t>Civilian,10101002,GE01,RAD(Centre_100)</t>
    <phoneticPr fontId="3" type="noConversion"/>
  </si>
  <si>
    <t>Thief,10103001,GE01,RAD(Team_10)</t>
    <phoneticPr fontId="3" type="noConversion"/>
  </si>
  <si>
    <t>preTask(40101005)</t>
  </si>
  <si>
    <t>preTask(40101006)</t>
  </si>
  <si>
    <t>preTask(40101007)</t>
  </si>
  <si>
    <t>preTask(40101008)</t>
  </si>
  <si>
    <t>preTask(40101009)</t>
  </si>
  <si>
    <t>preTask(40101010)</t>
  </si>
  <si>
    <t>preTask(40101011)</t>
  </si>
  <si>
    <t>preTask(40101012)</t>
  </si>
  <si>
    <t>preTask(40101013)</t>
  </si>
  <si>
    <t>preTask(40101014)</t>
  </si>
  <si>
    <t>preTask(40101015)</t>
  </si>
  <si>
    <t>preTask(40101016)</t>
  </si>
  <si>
    <t>preTask(40101017)</t>
  </si>
  <si>
    <t>preTask(40101018)</t>
  </si>
  <si>
    <t>preTask(40101019)</t>
  </si>
  <si>
    <t>捕快司</t>
    <phoneticPr fontId="3" type="noConversion"/>
  </si>
  <si>
    <t>政务司</t>
    <phoneticPr fontId="3" type="noConversion"/>
  </si>
  <si>
    <t>营造司</t>
    <phoneticPr fontId="3" type="noConversion"/>
  </si>
  <si>
    <t>houseLevel(31102002,,3)</t>
    <phoneticPr fontId="3" type="noConversion"/>
  </si>
  <si>
    <t>建筑31102002等级&lt;=3</t>
    <phoneticPr fontId="3" type="noConversion"/>
  </si>
  <si>
    <t>houseLevel(31102002,,);lordGrade(3,)</t>
    <phoneticPr fontId="3" type="noConversion"/>
  </si>
  <si>
    <t>建筑31102002任意等级且领主等级&gt;=3</t>
    <phoneticPr fontId="3" type="noConversion"/>
  </si>
  <si>
    <t>31101001,1;31102001,1|31101001,2|31101001,3</t>
  </si>
  <si>
    <t>4001,31102001,0,1;1011,31102001,10500004,2</t>
  </si>
  <si>
    <t>采摘坊</t>
    <phoneticPr fontId="3" type="noConversion"/>
  </si>
  <si>
    <t>伐木场</t>
    <phoneticPr fontId="3" type="noConversion"/>
  </si>
  <si>
    <t>采石场</t>
    <phoneticPr fontId="3" type="noConversion"/>
  </si>
  <si>
    <t>采矿场</t>
    <phoneticPr fontId="3" type="noConversion"/>
  </si>
  <si>
    <t>10516001,2|10516001,3|10516001,4</t>
    <phoneticPr fontId="3" type="noConversion"/>
  </si>
  <si>
    <t>前置任务40101005完成</t>
  </si>
  <si>
    <t>前置任务40101006完成</t>
  </si>
  <si>
    <t>前置任务40101007完成</t>
  </si>
  <si>
    <t>前置任务40101008完成</t>
  </si>
  <si>
    <t>前置任务40101009完成</t>
  </si>
  <si>
    <t>前置任务40101010完成</t>
  </si>
  <si>
    <t>前置任务40101011完成</t>
  </si>
  <si>
    <t>前置任务40101012完成</t>
  </si>
  <si>
    <t>前置任务40101013完成</t>
  </si>
  <si>
    <t>前置任务40101014完成</t>
  </si>
  <si>
    <t>前置任务40101015完成</t>
  </si>
  <si>
    <t>前置任务40101016完成</t>
  </si>
  <si>
    <t>前置任务40101017完成</t>
  </si>
  <si>
    <t>前置任务40101018完成</t>
  </si>
  <si>
    <t>前置任务40101019完成</t>
  </si>
  <si>
    <t>4002,31106002,0,1;1011,0,10512001,1;4002,31106003,0,1;1011,0,10514001,1</t>
    <phoneticPr fontId="3" type="noConversion"/>
  </si>
  <si>
    <t>备材兴土木</t>
    <phoneticPr fontId="3" type="noConversion"/>
  </si>
  <si>
    <t>转运府库</t>
    <phoneticPr fontId="3" type="noConversion"/>
  </si>
  <si>
    <t>各类材料，转运存放于仓储</t>
    <phoneticPr fontId="3" type="noConversion"/>
  </si>
  <si>
    <t>4002,31103002,0,1;1011,0,10500003,1;1011,0,10500002</t>
    <phoneticPr fontId="3" type="noConversion"/>
  </si>
  <si>
    <t>就地取材</t>
    <phoneticPr fontId="3" type="noConversion"/>
  </si>
  <si>
    <t>自给自足，先取土木之材</t>
    <phoneticPr fontId="3" type="noConversion"/>
  </si>
  <si>
    <t>百废待兴，储备足够建材</t>
    <phoneticPr fontId="3" type="noConversion"/>
  </si>
  <si>
    <t>3001,20102001,0,100;3001,20102002,0,100</t>
    <phoneticPr fontId="3" type="noConversion"/>
  </si>
  <si>
    <t>3001=拥有物资</t>
    <phoneticPr fontId="3" type="noConversion"/>
  </si>
  <si>
    <t>改善餐食</t>
    <phoneticPr fontId="3" type="noConversion"/>
  </si>
  <si>
    <t>人心思定</t>
    <phoneticPr fontId="3" type="noConversion"/>
  </si>
  <si>
    <t>小有营收</t>
    <phoneticPr fontId="3" type="noConversion"/>
  </si>
  <si>
    <t>治下建设小有起色，银钱积余</t>
    <phoneticPr fontId="3" type="noConversion"/>
  </si>
  <si>
    <t>3002,20101001,0,10000</t>
    <phoneticPr fontId="3" type="noConversion"/>
  </si>
  <si>
    <t>3002=获取物质</t>
    <phoneticPr fontId="3" type="noConversion"/>
  </si>
  <si>
    <t>4002,31105001,0,1;4002,31105002,0,1;1011,0,10500005,1</t>
    <phoneticPr fontId="3" type="noConversion"/>
  </si>
  <si>
    <t>2011,0,60,8;9002,0,60,1</t>
    <phoneticPr fontId="3" type="noConversion"/>
  </si>
  <si>
    <t>2011=拥有高幸福度角色，9002=总幸福度目标</t>
    <phoneticPr fontId="3" type="noConversion"/>
  </si>
  <si>
    <t>修建官舍，期待流浪豪杰来访</t>
    <phoneticPr fontId="3" type="noConversion"/>
  </si>
  <si>
    <t>4002,31104002,0,1;1022,10500201,0,1</t>
    <phoneticPr fontId="3" type="noConversion"/>
  </si>
  <si>
    <t>4002=建造建筑，1022=招募游侠</t>
    <phoneticPr fontId="3" type="noConversion"/>
  </si>
  <si>
    <t>筑巢引凤</t>
    <phoneticPr fontId="3" type="noConversion"/>
  </si>
  <si>
    <t>修葺官署</t>
    <phoneticPr fontId="3" type="noConversion"/>
  </si>
  <si>
    <t>游民地治理，始于官署</t>
    <phoneticPr fontId="3" type="noConversion"/>
  </si>
  <si>
    <t>抬籍为县</t>
    <phoneticPr fontId="3" type="noConversion"/>
  </si>
  <si>
    <t>游民地日渐繁盛，正式设县治理</t>
    <phoneticPr fontId="3" type="noConversion"/>
  </si>
  <si>
    <t>4003,31101001,2,1</t>
    <phoneticPr fontId="3" type="noConversion"/>
  </si>
  <si>
    <t>4003=升级建筑</t>
    <phoneticPr fontId="3" type="noConversion"/>
  </si>
  <si>
    <t>治安专管</t>
    <phoneticPr fontId="3" type="noConversion"/>
  </si>
  <si>
    <t>县治所属，捕快司，专司治安事</t>
    <phoneticPr fontId="3" type="noConversion"/>
  </si>
  <si>
    <t>改善餐食以提升民众幸福</t>
    <phoneticPr fontId="3" type="noConversion"/>
  </si>
  <si>
    <t>稳健施政，平民生出安居之心</t>
    <phoneticPr fontId="3" type="noConversion"/>
  </si>
  <si>
    <t>收拢流民</t>
    <phoneticPr fontId="3" type="noConversion"/>
  </si>
  <si>
    <t>扩建民宅，收拢流民，提振人口</t>
    <phoneticPr fontId="3" type="noConversion"/>
  </si>
  <si>
    <t>4002,31104001,0,1;1021,10500101,0,3</t>
    <phoneticPr fontId="3" type="noConversion"/>
  </si>
  <si>
    <t>4002,31102002,0,1;1011,31102002,10516002,3;1011,0,10523001,1</t>
    <phoneticPr fontId="3" type="noConversion"/>
  </si>
  <si>
    <t>治下政绩出众，升官嘉奖</t>
    <phoneticPr fontId="3" type="noConversion"/>
  </si>
  <si>
    <t>9001,0,5,1</t>
    <phoneticPr fontId="3" type="noConversion"/>
  </si>
  <si>
    <t>9001=提升官阶</t>
    <phoneticPr fontId="3" type="noConversion"/>
  </si>
  <si>
    <t>4002=建造建筑，1021=收拢流民</t>
    <phoneticPr fontId="3" type="noConversion"/>
  </si>
  <si>
    <t>建造【伐木场】；分派1名【伐木工】；建造【采石场】；分派1名【采石工】</t>
    <phoneticPr fontId="3" type="noConversion"/>
  </si>
  <si>
    <t>建造【库房】；分派1名【搬运工(库房)】；分派1名【搬运工(粮仓)】</t>
    <phoneticPr fontId="3" type="noConversion"/>
  </si>
  <si>
    <t>拥有【木料】100；拥有【石料】100</t>
    <phoneticPr fontId="3" type="noConversion"/>
  </si>
  <si>
    <t>建造【水井】；建造【食肆】；分派1名【备餐员】</t>
    <phoneticPr fontId="3" type="noConversion"/>
  </si>
  <si>
    <t>获得【铜钱】10000文</t>
    <phoneticPr fontId="3" type="noConversion"/>
  </si>
  <si>
    <t>拥有【幸福度&gt;=60】平民8人；【总幸福度】60</t>
    <phoneticPr fontId="3" type="noConversion"/>
  </si>
  <si>
    <t>建造【官舍】；招募1名【士族·流浪者】</t>
    <phoneticPr fontId="3" type="noConversion"/>
  </si>
  <si>
    <t>升级【官署】至2级</t>
    <phoneticPr fontId="3" type="noConversion"/>
  </si>
  <si>
    <t>修复【官署】</t>
    <phoneticPr fontId="13" type="noConversion"/>
  </si>
  <si>
    <t>修复【营造司】；分派2名【建筑工】</t>
    <phoneticPr fontId="13" type="noConversion"/>
  </si>
  <si>
    <t>建造【采摘坊】；分派2名【采摘工】；建造【粮仓】</t>
    <phoneticPr fontId="3" type="noConversion"/>
  </si>
  <si>
    <t>建造【民宅】；分配1人住宅</t>
    <phoneticPr fontId="3" type="noConversion"/>
  </si>
  <si>
    <t>增建【民宅】；收拢3名【平民·流民】</t>
    <phoneticPr fontId="3" type="noConversion"/>
  </si>
  <si>
    <t>建造【捕快司】；分派3名【捕快】；分派1名【捕头】</t>
    <phoneticPr fontId="3" type="noConversion"/>
  </si>
  <si>
    <t>官阶提升至5级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</si>
</sst>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Ver &quot;#;&quot;不导出&quot;;&quot;不导出&quot;"/>
  </numFmts>
  <fonts count="18" x14ac:knownFonts="1"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sz val="12"/>
      <color rgb="FFC00000"/>
      <name val="微软雅黑"/>
      <family val="2"/>
      <charset val="134"/>
    </font>
    <font>
      <b/>
      <sz val="12"/>
      <color rgb="FF000000"/>
      <name val="微软雅黑"/>
      <family val="2"/>
      <charset val="134"/>
    </font>
    <font>
      <b/>
      <sz val="12"/>
      <color theme="0"/>
      <name val="Arial"/>
      <family val="2"/>
    </font>
    <font>
      <b/>
      <sz val="12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0"/>
      <color theme="0" tint="-0.499984740745262"/>
      <name val="微软雅黑"/>
      <family val="2"/>
      <charset val="134"/>
    </font>
    <font>
      <sz val="10"/>
      <color rgb="FFC00000"/>
      <name val="微软雅黑"/>
      <family val="2"/>
      <charset val="134"/>
    </font>
    <font>
      <u/>
      <sz val="10"/>
      <color theme="10"/>
      <name val="微软雅黑"/>
      <family val="2"/>
      <charset val="134"/>
    </font>
    <font>
      <sz val="9"/>
      <color rgb="FF000000"/>
      <name val="等线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D99594"/>
        <bgColor indexed="64"/>
      </patternFill>
    </fill>
    <fill>
      <patternFill patternType="solid">
        <fgColor rgb="FFF2DBD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6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1" fillId="3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7" borderId="0" xfId="0" applyFill="1">
      <alignment vertical="center"/>
    </xf>
    <xf numFmtId="0" fontId="1" fillId="3" borderId="4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left" vertical="center" indent="11"/>
    </xf>
    <xf numFmtId="176" fontId="0" fillId="0" borderId="0" xfId="0" applyNumberFormat="1" applyFill="1">
      <alignment vertical="center"/>
    </xf>
    <xf numFmtId="0" fontId="8" fillId="5" borderId="1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9" fillId="4" borderId="4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3" borderId="0" xfId="0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49" fontId="12" fillId="0" borderId="0" xfId="0" applyNumberFormat="1" applyFon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12" fillId="0" borderId="0" xfId="0" applyNumberFormat="1" applyFont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1" fillId="3" borderId="4" xfId="0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49" fontId="12" fillId="0" borderId="0" xfId="0" applyNumberFormat="1" applyFont="1" applyFill="1" applyAlignment="1">
      <alignment horizontal="center"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49" fontId="12" fillId="0" borderId="0" xfId="0" applyNumberFormat="1" applyFont="1" applyFill="1" applyAlignment="1">
      <alignment horizontal="left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2" fillId="0" borderId="0" xfId="0" applyNumberFormat="1" applyFon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12" fillId="0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Fill="1">
      <alignment vertical="center"/>
    </xf>
    <xf numFmtId="0" fontId="0" fillId="7" borderId="0" xfId="0" applyFill="1" applyAlignment="1">
      <alignment horizontal="left" vertical="center"/>
    </xf>
    <xf numFmtId="49" fontId="1" fillId="3" borderId="0" xfId="0" applyNumberFormat="1" applyFont="1" applyFill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11" borderId="0" xfId="0" applyFill="1">
      <alignment vertical="center"/>
    </xf>
    <xf numFmtId="0" fontId="12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49" fontId="0" fillId="11" borderId="0" xfId="0" applyNumberFormat="1" applyFill="1" applyAlignment="1">
      <alignment horizontal="left" vertical="center"/>
    </xf>
    <xf numFmtId="49" fontId="0" fillId="11" borderId="0" xfId="0" applyNumberFormat="1" applyFill="1" applyAlignment="1">
      <alignment horizontal="center" vertical="center"/>
    </xf>
    <xf numFmtId="0" fontId="12" fillId="11" borderId="0" xfId="0" quotePrefix="1" applyFont="1" applyFill="1">
      <alignment vertical="center"/>
    </xf>
    <xf numFmtId="0" fontId="12" fillId="11" borderId="0" xfId="0" applyFont="1" applyFill="1">
      <alignment vertical="center"/>
    </xf>
    <xf numFmtId="49" fontId="12" fillId="11" borderId="0" xfId="0" applyNumberFormat="1" applyFont="1" applyFill="1" applyAlignment="1">
      <alignment horizontal="left" vertical="center"/>
    </xf>
    <xf numFmtId="49" fontId="12" fillId="11" borderId="0" xfId="0" applyNumberFormat="1" applyFont="1" applyFill="1" applyAlignment="1">
      <alignment horizontal="center" vertical="center"/>
    </xf>
    <xf numFmtId="0" fontId="12" fillId="11" borderId="0" xfId="0" applyFont="1" applyFill="1" applyAlignment="1">
      <alignment horizontal="left" vertical="center"/>
    </xf>
    <xf numFmtId="0" fontId="14" fillId="11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left" vertical="center"/>
    </xf>
    <xf numFmtId="49" fontId="0" fillId="3" borderId="0" xfId="0" applyNumberForma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16" fillId="0" borderId="0" xfId="2" applyFill="1">
      <alignment vertical="center"/>
    </xf>
    <xf numFmtId="0" fontId="16" fillId="0" borderId="0" xfId="2" applyFill="1" applyAlignment="1">
      <alignment vertical="center"/>
    </xf>
    <xf numFmtId="0" fontId="0" fillId="0" borderId="0" xfId="0" applyFill="1" applyAlignment="1">
      <alignment vertical="center"/>
    </xf>
    <xf numFmtId="176" fontId="0" fillId="0" borderId="0" xfId="0" applyNumberForma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</cellXfs>
  <cellStyles count="3">
    <cellStyle name="常规" xfId="0" builtinId="0"/>
    <cellStyle name="常规 2" xfId="1" xr:uid="{48C02E44-AC96-4B05-A445-02BBEA2E8335}"/>
    <cellStyle name="超链接" xfId="2" builtinId="8"/>
  </cellStyles>
  <dxfs count="469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numFmt numFmtId="30" formatCode="@"/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numFmt numFmtId="30" formatCode="@"/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微软雅黑"/>
        <family val="2"/>
        <charset val="134"/>
        <scheme val="none"/>
      </font>
      <numFmt numFmtId="30" formatCode="@"/>
      <fill>
        <patternFill patternType="none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微软雅黑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numFmt numFmtId="30" formatCode="@"/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6" formatCode="&quot;Ver &quot;#;&quot;不导出&quot;;&quot;不导出&quot;"/>
      <fill>
        <patternFill patternType="none">
          <fgColor indexed="64"/>
          <bgColor indexed="65"/>
        </patternFill>
      </fill>
    </dxf>
    <dxf>
      <numFmt numFmtId="176" formatCode="&quot;Ver &quot;#;&quot;不导出&quot;;&quot;不导出&quot;"/>
      <fill>
        <patternFill patternType="none">
          <fgColor indexed="64"/>
          <bgColor auto="1"/>
        </patternFill>
      </fill>
    </dxf>
    <dxf>
      <numFmt numFmtId="176" formatCode="&quot;Ver &quot;#;&quot;不导出&quot;;&quot;不导出&quot;"/>
      <fill>
        <patternFill patternType="none">
          <fgColor indexed="64"/>
          <bgColor auto="1"/>
        </patternFill>
      </fill>
    </dxf>
    <dxf>
      <numFmt numFmtId="176" formatCode="&quot;Ver &quot;#;&quot;不导出&quot;;&quot;不导出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DBDB"/>
      <color rgb="FFC0504D"/>
      <color rgb="FFD99594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导出配置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93BA4F-288E-411B-98A1-B08BBD9AC422}" name="表1" displayName="表1" ref="B13:D17" totalsRowShown="0" headerRowDxfId="468" dataDxfId="467">
  <autoFilter ref="B13:D17" xr:uid="{5409FF8B-818A-4AE4-B055-323CDBE0D8EE}"/>
  <tableColumns count="3">
    <tableColumn id="1" xr3:uid="{CC754968-8C37-4D80-BF07-3CA7A7A01208}" name="首列标识" dataDxfId="466"/>
    <tableColumn id="2" xr3:uid="{3FBC917E-FA96-4DA9-BFB9-63AFB61E5527}" name="标识含义" dataDxfId="465"/>
    <tableColumn id="3" xr3:uid="{18CDC9EB-F7A6-4736-AEE1-01B0612D1ABA}" name="标识说明" dataDxfId="46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D7C969-3CA9-4306-863B-C577D1A3CC3E}" name="表2" displayName="表2" ref="B19:D22" totalsRowShown="0" headerRowDxfId="463" dataDxfId="462">
  <autoFilter ref="B19:D22" xr:uid="{0BAFB400-5EB5-4878-BE26-D329079076DC}"/>
  <tableColumns count="3">
    <tableColumn id="1" xr3:uid="{17F5B870-CC56-4517-A038-6CB58DA372A3}" name="名称范例" dataDxfId="461"/>
    <tableColumn id="2" xr3:uid="{004BB6FA-4CE7-43C5-90C7-AE1009A8CA3F}" name="名称应用" dataDxfId="460"/>
    <tableColumn id="3" xr3:uid="{A79A991D-030F-4C77-9A28-DFEC81E65C5F}" name="命名说明" dataDxfId="45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B6B580-CACC-4204-9C89-E724328F098F}" name="表3" displayName="表3" ref="B24:D26" totalsRowShown="0" headerRowDxfId="458" dataDxfId="457">
  <autoFilter ref="B24:D26" xr:uid="{53F8F614-9F86-4A63-ABCC-ED0E6A5C245E}"/>
  <tableColumns count="3">
    <tableColumn id="1" xr3:uid="{B2D9E4DC-254B-4881-B7F6-0A53239073FF}" name="保留字段" dataDxfId="456"/>
    <tableColumn id="2" xr3:uid="{47A0A00E-B41F-47E7-8366-CC09D046BD51}" name="字段含义" dataDxfId="455"/>
    <tableColumn id="3" xr3:uid="{69465908-9F8B-4613-A1D0-9D0DE020CC7D}" name="字段说明" dataDxfId="454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70D638-95E5-4F9C-A56E-E21A724C50AA}" name="表4" displayName="表4" ref="B28:D42" totalsRowShown="0" headerRowDxfId="453" dataDxfId="452">
  <autoFilter ref="B28:D42" xr:uid="{57CD00D5-D221-4E36-B8E7-CF4771CF308C}"/>
  <tableColumns count="3">
    <tableColumn id="1" xr3:uid="{36A38F5A-158C-4525-84DA-BAE901EADFEF}" name="字段类型" dataDxfId="451"/>
    <tableColumn id="2" xr3:uid="{0DB0AC1F-7B1B-4DF7-9F26-A50309A21D5E}" name="类型说明" dataDxfId="450"/>
    <tableColumn id="3" xr3:uid="{AAC200C8-21B1-4469-8F43-A2ECD4581F09}" name="格式范例" dataDxfId="449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63E55F-5611-42EE-93C1-85F3AA9FA649}" name="表8" displayName="表8" ref="B5:D11" totalsRowShown="0" headerRowDxfId="448" dataDxfId="447">
  <autoFilter ref="B5:D11" xr:uid="{D388E04B-0847-44C0-A510-3F7F69CC63C4}"/>
  <tableColumns count="3">
    <tableColumn id="1" xr3:uid="{4F2A1FE8-9FDD-46FF-AA3E-EA2699D03EC8}" name="显示版本号" dataDxfId="446"/>
    <tableColumn id="2" xr3:uid="{09772D26-D130-4768-8E19-BE55147A8C55}" name="逻辑版本号" dataDxfId="445"/>
    <tableColumn id="3" xr3:uid="{4AFF08C5-3280-4C16-B6AE-8E9CF41BCB1A}" name="版本号说明" dataDxfId="444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5AC0576-86BA-4C5A-A991-6818B72299E0}" name="表7" displayName="表7" ref="F3:L42" totalsRowShown="0" headerRowDxfId="443" dataDxfId="442">
  <autoFilter ref="F3:L42" xr:uid="{45AC0576-86BA-4C5A-A991-6818B72299E0}"/>
  <tableColumns count="7">
    <tableColumn id="1" xr3:uid="{1130469B-EE76-4DA0-9FDC-C34858714075}" name="sheet名" dataDxfId="441"/>
    <tableColumn id="2" xr3:uid="{551B5402-2099-437E-BBFA-6106A18257BD}" name="ID分段" dataDxfId="440"/>
    <tableColumn id="3" xr3:uid="{AA83DC44-DFE5-466F-B869-9F420F0AB6BA}" name="cfg文件名" dataDxfId="439"/>
    <tableColumn id="4" xr3:uid="{6D3B7B16-CDEB-4FAB-B906-8077903DD180}" name="CfgDev" dataDxfId="438"/>
    <tableColumn id="5" xr3:uid="{98F2491D-F0B3-4519-84AE-682321285B48}" name="CfgDesign" dataDxfId="437"/>
    <tableColumn id="6" xr3:uid="{68C72D2A-CEC1-4908-B179-66210C4F8B26}" name="CfgRelease" dataDxfId="436"/>
    <tableColumn id="7" xr3:uid="{2A3F6D13-E0DD-442F-B126-2E83E863AB2E}" name="Fun~" dataDxfId="43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C7ECE-0BBF-4B9A-8A17-8FA84241BD33}" name="表5" displayName="表5" ref="A3:J20" totalsRowShown="0" headerRowDxfId="434" dataDxfId="433">
  <autoFilter ref="A3:J20" xr:uid="{34753D90-7DDA-4207-92FF-4DB9CCA40143}"/>
  <tableColumns count="10">
    <tableColumn id="1" xr3:uid="{7D3A9E02-91C0-4DFD-984C-6DE7DA5D1EDF}" name="#" dataDxfId="432"/>
    <tableColumn id="2" xr3:uid="{3FC7A4F9-8448-4A62-A1E7-4ADD73E7B1C0}" name="版本号" dataDxfId="431"/>
    <tableColumn id="3" xr3:uid="{A5900D62-AEB8-408C-8EA6-05192B7F680C}" name="编号" dataDxfId="430"/>
    <tableColumn id="4" xr3:uid="{A93E0CCF-6E83-4E6D-BC11-A52FFAB7B659}" name="资源" dataDxfId="429"/>
    <tableColumn id="5" xr3:uid="{0FA621EA-5BE0-46B2-8735-F48259BB5E6E}" name="名称" dataDxfId="428"/>
    <tableColumn id="9" xr3:uid="{ACE8593A-D3D5-46EB-8CBB-AFC4631C16D4}" name="描述" dataDxfId="427"/>
    <tableColumn id="10" xr3:uid="{0651D230-C991-4246-9B03-F8AEA640E6A4}" name="类型" dataDxfId="426"/>
    <tableColumn id="6" xr3:uid="{96B1CFD4-A7FE-47BB-BA89-5D8037B1C88C}" name="字段名称1" dataDxfId="425"/>
    <tableColumn id="7" xr3:uid="{7B90F2FA-6E98-4D64-B009-C1399994D91B}" name="字段名称2" dataDxfId="424"/>
    <tableColumn id="8" xr3:uid="{9D953DEB-CB60-46BC-B5A0-B413BB1818BC}" name="注释" dataDxfId="423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50E1CA8-F306-448A-A52E-B69B885F01EE}" name="表5_7" displayName="表5_7" ref="A3:G100" totalsRowShown="0" headerRowDxfId="422" dataDxfId="421">
  <autoFilter ref="A3:G100" xr:uid="{34753D90-7DDA-4207-92FF-4DB9CCA40143}"/>
  <tableColumns count="7">
    <tableColumn id="1" xr3:uid="{8E782C62-D669-4D20-B893-EBE7C6C5D187}" name="#" dataDxfId="420"/>
    <tableColumn id="2" xr3:uid="{F99B8DAC-6D58-412B-AA55-82B05A14643F}" name="版本号" dataDxfId="419"/>
    <tableColumn id="3" xr3:uid="{90A13AEE-5B52-4990-82F3-F28052E4BFB2}" name="常量编号" dataDxfId="418"/>
    <tableColumn id="4" xr3:uid="{662E5177-542C-44F5-AD19-EA4D03C07887}" name="常量键" dataDxfId="417"/>
    <tableColumn id="5" xr3:uid="{0A7E9F87-D4AA-4FCC-B0CB-4A0E6CC2BA69}" name="常量值" dataDxfId="416"/>
    <tableColumn id="9" xr3:uid="{3786DCE0-7A27-48FD-8DE5-08A2C063E50F}" name="字段类型" dataDxfId="415"/>
    <tableColumn id="8" xr3:uid="{C313D983-763F-450D-AFFE-2E8DD150F621}" name="注释" dataDxfId="414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5C60F3-3C2F-40B3-B17D-7428287CE090}" name="表5_710" displayName="表5_710" ref="A3:J306" totalsRowShown="0" headerRowDxfId="413" dataDxfId="412">
  <autoFilter ref="A3:J306" xr:uid="{34753D90-7DDA-4207-92FF-4DB9CCA40143}"/>
  <sortState xmlns:xlrd2="http://schemas.microsoft.com/office/spreadsheetml/2017/richdata2" ref="A4:J306">
    <sortCondition ref="E3:E306"/>
  </sortState>
  <tableColumns count="10">
    <tableColumn id="1" xr3:uid="{374A6604-2F54-4DDF-BF01-3D58802E5191}" name="#" dataDxfId="411"/>
    <tableColumn id="2" xr3:uid="{AAF599FD-3AD1-4B64-B7CA-9F64B84A88C7}" name="版本号" dataDxfId="410"/>
    <tableColumn id="3" xr3:uid="{6BF15589-38A5-432F-AA6B-B47316734C74}" name="字典编号" dataDxfId="409"/>
    <tableColumn id="4" xr3:uid="{31F98613-2756-4177-AA6D-AEE41C492439}" name="资源标识" dataDxfId="408"/>
    <tableColumn id="5" xr3:uid="{E19ECCA0-72DB-4C50-9546-9A7504CEDE82}" name="字典键" dataDxfId="407"/>
    <tableColumn id="9" xr3:uid="{3B924300-2701-4805-BAA3-4D3055DEAC26}" name="字典枚举" dataDxfId="406"/>
    <tableColumn id="10" xr3:uid="{9AE6A9C0-A170-43E3-A8DF-962E903CBACF}" name="字典文本" dataDxfId="405"/>
    <tableColumn id="6" xr3:uid="{FF59AD52-0C67-4F49-B46B-AC0A688F60B7}" name="字典缩略文本" dataDxfId="404"/>
    <tableColumn id="7" xr3:uid="{4CBCB936-F74E-4391-BBBC-16151780A739}" name="字典附加文本" dataDxfId="403"/>
    <tableColumn id="8" xr3:uid="{F2509A91-3E01-441E-9815-22912AAFCB75}" name="注释" dataDxfId="402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917A83E-FE01-4835-A41F-8CF70ED504BF}" name="表5_71011" displayName="表5_71011" ref="A3:H20" totalsRowShown="0" headerRowDxfId="401" dataDxfId="400">
  <autoFilter ref="A3:H20" xr:uid="{34753D90-7DDA-4207-92FF-4DB9CCA40143}"/>
  <tableColumns count="8">
    <tableColumn id="1" xr3:uid="{DE49903E-6A0A-463F-8A0D-F23A51A35CD6}" name="#" dataDxfId="399"/>
    <tableColumn id="2" xr3:uid="{DE668DD3-9AFA-47B9-AFDB-D36FAFB96B9B}" name="版本号" dataDxfId="398"/>
    <tableColumn id="3" xr3:uid="{54A81531-6441-4233-92EE-D4CE47736E09}" name="属性编号" dataDxfId="397"/>
    <tableColumn id="4" xr3:uid="{4795B15D-C0B1-4D14-BE35-7549130B7568}" name="属性键" dataDxfId="396"/>
    <tableColumn id="5" xr3:uid="{6A62C4E5-7DB6-4D30-A1B1-BA533F46D93C}" name="属性枚举" dataDxfId="395"/>
    <tableColumn id="9" xr3:uid="{7A9B718E-7E26-4285-859F-3FEBB4C4ECC7}" name="属性名称" dataDxfId="394"/>
    <tableColumn id="10" xr3:uid="{AD37E72F-238F-4D98-923E-BC6E26FE7427}" name="属性描述" dataDxfId="393"/>
    <tableColumn id="8" xr3:uid="{4A5CB80D-64A0-4108-9647-E30CD06E1AB5}" name="注释" dataDxfId="392"/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E6DB56D-4928-4087-875A-209A5FBE21F3}" name="表5_7101112" displayName="表5_7101112" ref="A3:O20" totalsRowShown="0" headerRowDxfId="391" dataDxfId="390">
  <autoFilter ref="A3:O20" xr:uid="{34753D90-7DDA-4207-92FF-4DB9CCA40143}"/>
  <tableColumns count="15">
    <tableColumn id="1" xr3:uid="{88D9F761-5A46-4F11-A3F2-AAFC62FE75C0}" name="#" dataDxfId="389"/>
    <tableColumn id="2" xr3:uid="{B99A323B-E123-4B5C-B595-464FC1E453B0}" name="版本号" dataDxfId="388"/>
    <tableColumn id="3" xr3:uid="{0B3688AD-50EE-4494-9441-1728F01A7B36}" name="功能编号" dataDxfId="387"/>
    <tableColumn id="4" xr3:uid="{1399AA14-89FD-41C1-937E-CA83D3624D99}" name="功能标识" dataDxfId="386"/>
    <tableColumn id="11" xr3:uid="{7B1DFD94-0DFD-4818-900F-FD377D820235}" name="功能类型" dataDxfId="385"/>
    <tableColumn id="12" xr3:uid="{005D2EC5-D12A-47A5-9E62-AFFE2DEC4EB7}" name="功能排序" dataDxfId="384"/>
    <tableColumn id="13" xr3:uid="{BAD1803F-7D5E-4AA8-9B09-A51692D1C9FF}" name="功能名称" dataDxfId="383"/>
    <tableColumn id="14" xr3:uid="{AB18703E-9926-4D57-A221-945B1DB07106}" name="可用描述" dataDxfId="382"/>
    <tableColumn id="15" xr3:uid="{BD17F0A3-E958-4B62-9FFD-1D68BA3C1FC4}" name="不可用描述" dataDxfId="381"/>
    <tableColumn id="5" xr3:uid="{CD2C85D4-F693-4FF7-88A0-996C27049C61}" name="功能开启效果" dataDxfId="380"/>
    <tableColumn id="9" xr3:uid="{6C8B5B21-3E2C-4DE1-AC96-2B748E2231D5}" name="上级功能" dataDxfId="379"/>
    <tableColumn id="10" xr3:uid="{AB05F5EF-0A8A-4089-9A4B-8289C00D0146}" name="附带功能" dataDxfId="378"/>
    <tableColumn id="6" xr3:uid="{91363EE2-0661-4EF6-879D-19C359AA01FF}" name="建筑关联" dataDxfId="377"/>
    <tableColumn id="7" xr3:uid="{66990C57-D3EF-48BF-A9C3-AA9A2AA912C1}" name="快捷键" dataDxfId="376"/>
    <tableColumn id="8" xr3:uid="{78FFEBDE-B68B-4346-8FDA-72DFF2D34D5F}" name="注释" dataDxfId="375"/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9279AFA-4250-4A97-9766-5C14EB5EFD1E}" name="表5_710111213" displayName="表5_710111213" ref="A3:K20" totalsRowShown="0" headerRowDxfId="374" dataDxfId="373">
  <autoFilter ref="A3:K20" xr:uid="{34753D90-7DDA-4207-92FF-4DB9CCA40143}"/>
  <tableColumns count="11">
    <tableColumn id="1" xr3:uid="{5DCD0F10-4B06-4462-B537-5B62B191DBEB}" name="#" dataDxfId="372"/>
    <tableColumn id="2" xr3:uid="{5B548222-30C1-4128-BF3C-17A2DEB63484}" name="版本号" dataDxfId="371"/>
    <tableColumn id="3" xr3:uid="{720217D6-B4DF-4FE7-921E-ABCF1D59FEB0}" name="设置编号" dataDxfId="370"/>
    <tableColumn id="4" xr3:uid="{A0A90AB9-AD9D-4E82-886A-8C92524465F0}" name="资源标识" dataDxfId="369"/>
    <tableColumn id="5" xr3:uid="{87FEFBCB-E225-4710-9832-C13D8B72775B}" name="设置分类" dataDxfId="368"/>
    <tableColumn id="9" xr3:uid="{B5068C72-AB15-4399-BDF4-D1AF39E6AC82}" name="选项排序" dataDxfId="367"/>
    <tableColumn id="11" xr3:uid="{390C8957-4502-4D47-8284-7D4931802786}" name="选项名称" dataDxfId="366"/>
    <tableColumn id="10" xr3:uid="{A01C458E-E053-4E66-AEC2-F456169DD19E}" name="启用描述" dataDxfId="365"/>
    <tableColumn id="6" xr3:uid="{C3335116-E677-45C7-B887-26A37D0FCA71}" name="未启用描述" dataDxfId="364"/>
    <tableColumn id="7" xr3:uid="{458C5FB6-1C9D-4E9D-A146-F272E5588382}" name="设置效果" dataDxfId="363"/>
    <tableColumn id="8" xr3:uid="{9D0C28AC-1163-4CB2-B837-D09DC1AE4748}" name="注释" dataDxfId="362"/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4E3FCA6-5B7E-4A31-B6D4-E7EFD3EDDDFC}" name="表5_71011121314" displayName="表5_71011121314" ref="A3:J20" totalsRowShown="0" headerRowDxfId="361" dataDxfId="360">
  <autoFilter ref="A3:J20" xr:uid="{34753D90-7DDA-4207-92FF-4DB9CCA40143}"/>
  <tableColumns count="10">
    <tableColumn id="1" xr3:uid="{2820E213-0F7A-46D9-8F88-DA2CDC20BCC5}" name="#" dataDxfId="359"/>
    <tableColumn id="2" xr3:uid="{6CF17375-A718-44EA-9176-96D9D13F0C82}" name="版本号" dataDxfId="358"/>
    <tableColumn id="3" xr3:uid="{0980B81A-4423-4D1B-9308-A69D8EF9BBCA}" name="通知编号" dataDxfId="357"/>
    <tableColumn id="4" xr3:uid="{DDE369F8-FDA8-4FC0-A62F-82C2E08571BF}" name="资源标识" dataDxfId="356"/>
    <tableColumn id="5" xr3:uid="{EE5DAD44-43FE-477D-94B3-546C5F18F1E1}" name="通知类型" dataDxfId="355"/>
    <tableColumn id="9" xr3:uid="{D1290ECD-781C-4529-AEA7-5802FB1B9F15}" name="显示排序" dataDxfId="354"/>
    <tableColumn id="10" xr3:uid="{9358A53A-0CA9-4E64-9267-14345669203C}" name="通知时间" dataDxfId="353"/>
    <tableColumn id="6" xr3:uid="{09B3ABAB-B83B-487E-BBED-0A23766FF91B}" name="通知标题" dataDxfId="352"/>
    <tableColumn id="7" xr3:uid="{388592E6-DB24-476B-AEEB-590807EDBA88}" name="通知正文" dataDxfId="351"/>
    <tableColumn id="8" xr3:uid="{D9ECC856-AC03-40D4-B18D-EFB922322FA6}" name="注释" dataDxfId="350"/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CFA385F-158A-4B2F-8D9D-48243F202460}" name="表5_7101112131415" displayName="表5_7101112131415" ref="A3:L100" totalsRowShown="0" headerRowDxfId="349" dataDxfId="348">
  <autoFilter ref="A3:L100" xr:uid="{34753D90-7DDA-4207-92FF-4DB9CCA40143}"/>
  <tableColumns count="12">
    <tableColumn id="1" xr3:uid="{EC215663-DA3C-4D01-A182-18B37C116B3E}" name="#" dataDxfId="347"/>
    <tableColumn id="2" xr3:uid="{29AB8390-643F-4CF8-9110-D97094E90DE6}" name="版本号" dataDxfId="346"/>
    <tableColumn id="3" xr3:uid="{B9E56197-1328-43DD-83D8-6E2AF59ACA41}" name="提示编号" dataDxfId="345"/>
    <tableColumn id="4" xr3:uid="{55F1A5C4-8CFF-4192-B9D3-9657D84815AB}" name="资源标识" dataDxfId="344"/>
    <tableColumn id="5" xr3:uid="{4085EF0C-E013-47AE-9381-493FF38A388D}" name="提示类型" dataDxfId="343"/>
    <tableColumn id="12" xr3:uid="{B450DF46-C9FD-46B1-B815-A8542FEEEF28}" name="日志样式" dataDxfId="342"/>
    <tableColumn id="9" xr3:uid="{26A472DB-57A5-4613-B479-5A70A08CD90B}" name="按钮文本" dataDxfId="341"/>
    <tableColumn id="10" xr3:uid="{EB00985B-1742-4DAE-A742-BB599318192A}" name="按钮跳转" dataDxfId="340"/>
    <tableColumn id="11" xr3:uid="{B70DEA1B-289F-4D0E-873E-CE7A4C92FAD7}" name="可否隐藏" dataDxfId="339"/>
    <tableColumn id="6" xr3:uid="{77222B67-E9C0-414D-9239-37E9E08A0577}" name="提示标题" dataDxfId="338"/>
    <tableColumn id="7" xr3:uid="{3E2FA690-1CBF-441A-B801-671514FE7702}" name="提示文本" dataDxfId="337"/>
    <tableColumn id="8" xr3:uid="{2013EA6B-30FF-499F-A6D6-637FFEE0BAD6}" name="注释" dataDxfId="336"/>
  </tableColumns>
  <tableStyleInfo name="TableStyleMedium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D9E2FD2-3965-49AF-88DD-1EDEE74A43DD}" name="表5_710111213141516" displayName="表5_710111213141516" ref="A3:G506" totalsRowShown="0" headerRowDxfId="335" dataDxfId="334">
  <autoFilter ref="A3:G506" xr:uid="{34753D90-7DDA-4207-92FF-4DB9CCA40143}"/>
  <tableColumns count="7">
    <tableColumn id="1" xr3:uid="{75547966-BDA2-456C-8857-8F87FB432475}" name="#" dataDxfId="333"/>
    <tableColumn id="2" xr3:uid="{867A9FB9-67C9-409E-B5AF-440F5FA2EE33}" name="版本号" dataDxfId="332"/>
    <tableColumn id="3" xr3:uid="{F2C5F440-910C-4479-BD56-9A7C7338344B}" name="随机姓名编号" dataDxfId="331"/>
    <tableColumn id="4" xr3:uid="{FC05E440-1A1B-4339-AB8B-473A25286C29}" name="姓" dataDxfId="330"/>
    <tableColumn id="5" xr3:uid="{9A13B077-FC49-4F82-87A8-5B6740BB93C8}" name="男名" dataDxfId="329"/>
    <tableColumn id="9" xr3:uid="{D2E772A6-3144-4891-BFCD-2E922745CCCB}" name="女名" dataDxfId="328"/>
    <tableColumn id="8" xr3:uid="{CDF40CB9-9788-43DA-A15B-B425C7CA0D67}" name="注释" dataDxfId="327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1D56979-5E0D-4742-9136-66302B1B668B}" name="表5_71011121314151617" displayName="表5_71011121314151617" ref="A3:R20" totalsRowShown="0" headerRowDxfId="326" dataDxfId="325">
  <autoFilter ref="A3:R20" xr:uid="{34753D90-7DDA-4207-92FF-4DB9CCA40143}"/>
  <tableColumns count="18">
    <tableColumn id="1" xr3:uid="{016560C2-10BF-467F-B540-1F907D20817E}" name="#" dataDxfId="324"/>
    <tableColumn id="2" xr3:uid="{BE5D4612-4EDE-47E4-A1E7-381F12C1CCF6}" name="版本号" dataDxfId="323"/>
    <tableColumn id="3" xr3:uid="{53E56FE6-6B57-46BA-ABE4-61CD16D4D33C}" name="角色编号" dataDxfId="322"/>
    <tableColumn id="18" xr3:uid="{76C89D11-2963-4B4F-9964-5CF9A02FD3C6}" name="角色形象" dataDxfId="321"/>
    <tableColumn id="11" xr3:uid="{ECA08085-2D4B-4F09-951E-52CA8DEBFBF3}" name="角色类型" dataDxfId="320"/>
    <tableColumn id="12" xr3:uid="{1835156B-33C4-4062-9F74-F4162CFDF064}" name="角色性别" dataDxfId="319"/>
    <tableColumn id="13" xr3:uid="{2AFEDD8F-9EAD-41FD-BF65-A8650DA00D41}" name="角色名称" dataDxfId="318"/>
    <tableColumn id="14" xr3:uid="{5C8CBE8D-0FDA-46DB-89F4-3632F9F8207E}" name="角色描述" dataDxfId="317"/>
    <tableColumn id="15" xr3:uid="{632CB09F-85B8-4071-954B-07C1139183AD}" name="角色故事" dataDxfId="316"/>
    <tableColumn id="16" xr3:uid="{C3AD1270-0629-49B3-8DB1-CDB9B23D6FFE}" name="角色身份" dataDxfId="315"/>
    <tableColumn id="17" xr3:uid="{E31598D4-9989-40B6-A465-D94A87EE0CA2}" name="角色职业" dataDxfId="314"/>
    <tableColumn id="4" xr3:uid="{7B41BA2F-6F2E-490C-8689-61FBD486E41E}" name="角色工作" dataDxfId="313"/>
    <tableColumn id="5" xr3:uid="{2ADE3D20-D4DF-4884-80A7-113278754BAE}" name="角色能力" dataDxfId="312"/>
    <tableColumn id="9" xr3:uid="{7AC05C94-4BFF-417F-A1DF-0BF352F53CBB}" name="角色需求" dataDxfId="311"/>
    <tableColumn id="10" xr3:uid="{8217542B-811F-4841-80BF-7868C4CFFE68}" name="特性标签" dataDxfId="310"/>
    <tableColumn id="6" xr3:uid="{14687736-BC50-4220-8AD5-6F317AF76054}" name="随机标签" dataDxfId="309"/>
    <tableColumn id="7" xr3:uid="{C16BCF52-BE17-47D0-B320-C42D712B940D}" name="随机数量" dataDxfId="308"/>
    <tableColumn id="8" xr3:uid="{41707274-2175-4137-BFBD-E1898BC77CF8}" name="注释" dataDxfId="307"/>
  </tableColumns>
  <tableStyleInfo name="TableStyleMedium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F72B1CE-57B0-4375-AAD2-09ACBDCD3FBB}" name="表5_7101112131415161718" displayName="表5_7101112131415161718" ref="A3:G20" totalsRowShown="0" headerRowDxfId="306" dataDxfId="305">
  <autoFilter ref="A3:G20" xr:uid="{34753D90-7DDA-4207-92FF-4DB9CCA40143}"/>
  <tableColumns count="7">
    <tableColumn id="1" xr3:uid="{CAA2EF09-8DEB-482F-888A-440E9CB34C33}" name="#" dataDxfId="304"/>
    <tableColumn id="2" xr3:uid="{C30E2A24-4A04-4369-836C-BFD3D03CCA44}" name="版本号" dataDxfId="303"/>
    <tableColumn id="3" xr3:uid="{5F1E7052-24AD-4CCF-9778-5D7451422E58}" name="形象编号" dataDxfId="302"/>
    <tableColumn id="4" xr3:uid="{CFF2834B-F331-4E13-88B9-F849540C21A9}" name="资源标识" dataDxfId="301"/>
    <tableColumn id="5" xr3:uid="{F0277CA4-5D6D-4478-9D65-A8031A6D6EFA}" name="骨骼标识" dataDxfId="300"/>
    <tableColumn id="9" xr3:uid="{108114E0-51CC-4BCA-8A9B-FB6B32BBD91E}" name="是否随机" dataDxfId="299"/>
    <tableColumn id="8" xr3:uid="{E16837C7-768F-4B13-8B18-B27425635ECF}" name="注释" dataDxfId="298"/>
  </tableColumns>
  <tableStyleInfo name="TableStyleMedium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2AD3D6D-957C-4067-975C-1356A8F944C9}" name="表5_710111213141516171819" displayName="表5_710111213141516171819" ref="A3:J20" totalsRowShown="0" headerRowDxfId="297" dataDxfId="296">
  <autoFilter ref="A3:J20" xr:uid="{34753D90-7DDA-4207-92FF-4DB9CCA40143}"/>
  <tableColumns count="10">
    <tableColumn id="1" xr3:uid="{D082255F-3A59-451E-99A4-E142AA465837}" name="#" dataDxfId="295"/>
    <tableColumn id="2" xr3:uid="{5BC01730-B36F-49D9-A551-93160ED0F527}" name="版本号" dataDxfId="294"/>
    <tableColumn id="3" xr3:uid="{0548C95C-AD00-457F-97C3-F6592C1A1E07}" name="身份编号" dataDxfId="293"/>
    <tableColumn id="4" xr3:uid="{5E450332-F15B-41A7-903B-A3CE289A140D}" name="资源标识" dataDxfId="292"/>
    <tableColumn id="5" xr3:uid="{3BDB99C0-6F06-44DA-AAE1-528FD449E461}" name="角色类型" dataDxfId="291"/>
    <tableColumn id="9" xr3:uid="{D530BD34-1B05-412B-B239-818855804EEF}" name="是否无主" dataDxfId="290"/>
    <tableColumn id="10" xr3:uid="{97F04F8D-E5D5-4FAE-AB7B-DFE6527F9755}" name="身份枚举" dataDxfId="289"/>
    <tableColumn id="6" xr3:uid="{A134F180-E394-414A-97F6-39F60E7B011E}" name="身份名称" dataDxfId="288"/>
    <tableColumn id="7" xr3:uid="{A1EF49FE-761D-4664-8E7B-A3231750D6D2}" name="身份描述" dataDxfId="287"/>
    <tableColumn id="8" xr3:uid="{75949D08-11B3-413C-8368-8B0A69523E4F}" name="注释" dataDxfId="286"/>
  </tableColumns>
  <tableStyleInfo name="TableStyleMedium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151363F-8C4A-40C8-B93C-E374955E2DF8}" name="表5_71011121314151617181920" displayName="表5_71011121314151617181920" ref="A3:J20" totalsRowShown="0" headerRowDxfId="285" dataDxfId="284">
  <autoFilter ref="A3:J20" xr:uid="{34753D90-7DDA-4207-92FF-4DB9CCA40143}"/>
  <tableColumns count="10">
    <tableColumn id="1" xr3:uid="{71D71451-4B52-4CBB-96DE-8D4D64CF164E}" name="#" dataDxfId="283"/>
    <tableColumn id="2" xr3:uid="{940BE03D-AB3C-4079-BEB1-795A0F9DABA6}" name="版本号" dataDxfId="282"/>
    <tableColumn id="3" xr3:uid="{F09E3D68-7165-43D1-80FF-1E64C14307E1}" name="职业编号" dataDxfId="281"/>
    <tableColumn id="4" xr3:uid="{9D713C4B-B2EA-4017-AD57-E402B1D5C6F9}" name="资源标识" dataDxfId="280"/>
    <tableColumn id="5" xr3:uid="{B324B746-36AC-4989-8A4B-CF1D67D52A6B}" name="职业枚举" dataDxfId="279"/>
    <tableColumn id="9" xr3:uid="{04B75A34-0CAF-41C4-85D2-0ECE66A80E82}" name="等级类型" dataDxfId="278"/>
    <tableColumn id="10" xr3:uid="{2C36A79B-2918-4C7A-83A6-00679A0F79B3}" name="关联经验" dataDxfId="277"/>
    <tableColumn id="6" xr3:uid="{354B76B9-2F6D-4AE6-AEEB-37930231E280}" name="职业名称" dataDxfId="276"/>
    <tableColumn id="7" xr3:uid="{DDA574D6-3570-4555-B054-6AA17BD4F9A2}" name="职业描述" dataDxfId="275"/>
    <tableColumn id="8" xr3:uid="{838568DD-BCFD-44E6-AD77-0AF0C0D5348D}" name="注释" dataDxfId="274"/>
  </tableColumns>
  <tableStyleInfo name="TableStyleMedium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2F06142-36DD-4CF5-971A-A41D69658E45}" name="表5_7101112131415161718192021" displayName="表5_7101112131415161718192021" ref="A3:O50" totalsRowShown="0" headerRowDxfId="273" dataDxfId="272">
  <autoFilter ref="A3:O50" xr:uid="{34753D90-7DDA-4207-92FF-4DB9CCA40143}"/>
  <tableColumns count="15">
    <tableColumn id="1" xr3:uid="{9512E855-155D-4DD3-A999-14A8FFC540C6}" name="#" dataDxfId="271"/>
    <tableColumn id="2" xr3:uid="{5CB3BC48-D0F3-45B2-B8B3-97E700A94E1D}" name="版本号" dataDxfId="270"/>
    <tableColumn id="3" xr3:uid="{EBB65D11-2CD9-4627-9404-AB057565954C}" name="工作编号" dataDxfId="269"/>
    <tableColumn id="4" xr3:uid="{E8BBF512-77B2-46AF-B8F1-230938378310}" name="资源标识" dataDxfId="268"/>
    <tableColumn id="5" xr3:uid="{AB801EE1-5F34-4B89-A229-1E2EA2733068}" name="可用身份" dataDxfId="267"/>
    <tableColumn id="9" xr3:uid="{9E119AC5-15AB-4F2D-8407-597CF05B372B}" name="所属职业" dataDxfId="266"/>
    <tableColumn id="11" xr3:uid="{C38E4BCB-5F80-4B03-B96E-ECAEED3039D3}" name="工作枚举" dataDxfId="265"/>
    <tableColumn id="12" xr3:uid="{E755FB57-D7B1-4DB3-A3D4-1EF6B2CF4CEC}" name="工作名称" dataDxfId="264"/>
    <tableColumn id="13" xr3:uid="{A10ECD54-D975-4110-9C8A-9DA4C1E90CD4}" name="工作描述" dataDxfId="263"/>
    <tableColumn id="10" xr3:uid="{08C4E8A3-0578-4D5C-AC68-FDD5B2C6B994}" name="能力修正" dataDxfId="262"/>
    <tableColumn id="6" xr3:uid="{183E64DE-91D9-4611-B35F-9C0BA40B9624}" name="需求修正" dataDxfId="261"/>
    <tableColumn id="14" xr3:uid="{29AC131B-BBD2-400B-93FB-EB2FF570DC57}" name="能力系数" dataDxfId="260"/>
    <tableColumn id="15" xr3:uid="{DC4D787B-EAEC-4A95-A17D-6ED324A2A5C3}" name="每日费用" dataDxfId="259"/>
    <tableColumn id="7" xr3:uid="{A103544E-D2BF-4900-BD01-603123BF5E59}" name="行动方案" dataDxfId="258"/>
    <tableColumn id="8" xr3:uid="{9B4B7981-E105-4868-9408-779F25E40108}" name="注释" dataDxfId="257"/>
  </tableColumns>
  <tableStyleInfo name="TableStyleMedium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D48B05B-ED59-456F-8304-69928A1B48BF}" name="表5_710111213141516171819202122" displayName="表5_710111213141516171819202122" ref="A3:L40" totalsRowShown="0" headerRowDxfId="256" dataDxfId="255">
  <autoFilter ref="A3:L40" xr:uid="{34753D90-7DDA-4207-92FF-4DB9CCA40143}"/>
  <tableColumns count="12">
    <tableColumn id="1" xr3:uid="{3757A1E6-E4BC-46F4-8DF3-40DBD2349DEE}" name="#" dataDxfId="254"/>
    <tableColumn id="2" xr3:uid="{31B39858-510B-4F7F-997C-5B1226EC5B89}" name="版本号" dataDxfId="253"/>
    <tableColumn id="3" xr3:uid="{2C08FA1D-EDDA-4BFA-8E63-231C6B91EF1A}" name="行为编号" dataDxfId="252"/>
    <tableColumn id="4" xr3:uid="{7769D6AE-1591-4227-AE54-EF7B48CBFD6E}" name="资源标识" dataDxfId="251"/>
    <tableColumn id="5" xr3:uid="{9EB20E17-BC00-4247-82BD-A0F7D5E3FFDB}" name="行为分组" dataDxfId="250"/>
    <tableColumn id="9" xr3:uid="{99C4E309-B32E-41B8-9D1B-2DF1AE90AC50}" name="运动方式" dataDxfId="249"/>
    <tableColumn id="10" xr3:uid="{4C64FF81-E010-4253-ABEA-3981D6B4799B}" name="随机步长" dataDxfId="248"/>
    <tableColumn id="6" xr3:uid="{AC3860A1-114C-4547-BF61-017A3986CDD1}" name="行为名称" dataDxfId="247"/>
    <tableColumn id="7" xr3:uid="{0F0B42D5-FAE4-47ED-A116-F9C986362AB2}" name="行为描述" dataDxfId="246"/>
    <tableColumn id="11" xr3:uid="{28B704BE-96AB-4680-83CB-46872581A79C}" name="需求影响" dataDxfId="245"/>
    <tableColumn id="12" xr3:uid="{4A6B6286-AD01-4F3C-8F51-FD9C05369660}" name="经验获取" dataDxfId="244"/>
    <tableColumn id="8" xr3:uid="{24ECC145-8AF2-4EE8-A940-76BAE4F021D6}" name="注释" dataDxfId="243"/>
  </tableColumns>
  <tableStyleInfo name="TableStyleMedium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32B2E8A-7475-4F45-8B8A-B83226EF8CF9}" name="表5_3233" displayName="表5_3233" ref="A3:H30" totalsRowShown="0" headerRowDxfId="242" dataDxfId="241">
  <autoFilter ref="A3:H30" xr:uid="{34753D90-7DDA-4207-92FF-4DB9CCA40143}"/>
  <tableColumns count="8">
    <tableColumn id="1" xr3:uid="{7C1FC1C5-FD5A-4B3B-A87C-401E057B05BC}" name="#" dataDxfId="240"/>
    <tableColumn id="2" xr3:uid="{F63DD8CF-9F1B-4D76-BDA4-E157A0F578D4}" name="版本号" dataDxfId="239"/>
    <tableColumn id="3" xr3:uid="{D4A41D2D-5686-4624-B0BE-5DFDECF7BF4C}" name="幸福编号" dataDxfId="238"/>
    <tableColumn id="4" xr3:uid="{BCEA53BF-E391-48A4-A8A4-50A4CF8668C4}" name="需求枚举" dataDxfId="237"/>
    <tableColumn id="5" xr3:uid="{97908228-FA28-46C4-AA8F-414B835A1BF6}" name="需求档位" dataDxfId="236"/>
    <tableColumn id="9" xr3:uid="{E3CEF138-0F81-4EE3-8ADD-7058BE512040}" name="幸福标签" dataDxfId="235"/>
    <tableColumn id="10" xr3:uid="{4E3B585B-9874-4D06-9A7C-1B36BE7938D0}" name="总体影响" dataDxfId="234"/>
    <tableColumn id="8" xr3:uid="{6E3A2C6A-1567-4958-820A-046447F72EA6}" name="注释" dataDxfId="233"/>
  </tableColumns>
  <tableStyleInfo name="TableStyleMedium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7746449-BCB5-4132-814E-F98F3120F0EF}" name="表5_71011121314151617181920212223" displayName="表5_71011121314151617181920212223" ref="A3:N110" totalsRowShown="0" headerRowDxfId="232" dataDxfId="231">
  <autoFilter ref="A3:N110" xr:uid="{34753D90-7DDA-4207-92FF-4DB9CCA40143}"/>
  <tableColumns count="14">
    <tableColumn id="1" xr3:uid="{817A4224-ADD9-418C-8124-0789F53E2A9A}" name="#" dataDxfId="230"/>
    <tableColumn id="2" xr3:uid="{7F1E8832-4692-405E-AEDE-9DA2131AF165}" name="版本号" dataDxfId="229"/>
    <tableColumn id="3" xr3:uid="{B8906220-019E-468C-B21A-9A934FC5B29C}" name="等级编号" dataDxfId="228"/>
    <tableColumn id="4" xr3:uid="{4E1289C7-FE4A-42AB-823D-F8D10729018C}" name="等级类型" dataDxfId="227"/>
    <tableColumn id="11" xr3:uid="{78AAEF93-4D0E-47E2-9E7B-8CFF3FA9C417}" name="当前等级" dataDxfId="226"/>
    <tableColumn id="14" xr3:uid="{D05E8061-9F2F-4B26-BCC6-24BD1DDB2019}" name="是否满级" dataDxfId="225"/>
    <tableColumn id="12" xr3:uid="{81092248-4157-4AB7-AB27-BF9A5F645962}" name="升级经验" dataDxfId="224"/>
    <tableColumn id="13" xr3:uid="{FF578EAD-88B7-45A0-9AC8-AA917569407A}" name="升级模式" dataDxfId="223"/>
    <tableColumn id="5" xr3:uid="{1788CA4E-9055-4B98-8FDD-1013943014B2}" name="升级消耗" dataDxfId="222"/>
    <tableColumn id="9" xr3:uid="{E5C70F57-24E7-4EBE-A43A-44DE1ADFDA45}" name="升级奖励" dataDxfId="221"/>
    <tableColumn id="6" xr3:uid="{F21DB898-F615-4009-AF7F-0BB52F170F71}" name="能力修正" dataDxfId="220"/>
    <tableColumn id="7" xr3:uid="{1DF87F0A-4B42-43B8-936C-F097A5DAA186}" name="需求修正" dataDxfId="219"/>
    <tableColumn id="10" xr3:uid="{BD8F2276-376A-4B35-982F-AB3A81AEA4B8}" name="附加标签" dataDxfId="218"/>
    <tableColumn id="8" xr3:uid="{A436D0B9-7625-4049-840F-9746597DFF44}" name="注释" dataDxfId="217"/>
  </tableColumns>
  <tableStyleInfo name="TableStyleMedium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3EFC3FC-5036-423C-94C5-CA8975043BA2}" name="表5_71011121314151617181920212223242526" displayName="表5_71011121314151617181920212223242526" ref="A3:K60" totalsRowShown="0" headerRowDxfId="216" dataDxfId="215">
  <autoFilter ref="A3:K60" xr:uid="{34753D90-7DDA-4207-92FF-4DB9CCA40143}"/>
  <tableColumns count="11">
    <tableColumn id="1" xr3:uid="{B8DD25C0-CB63-48E0-AF54-5B0C578A5E65}" name="#" dataDxfId="214"/>
    <tableColumn id="2" xr3:uid="{A767EA80-ED64-42C8-ACD2-9910B6669C6F}" name="版本号" dataDxfId="213"/>
    <tableColumn id="3" xr3:uid="{9FA395C3-DC5E-4640-897E-8AB947805303}" name="标签编号" dataDxfId="212"/>
    <tableColumn id="4" xr3:uid="{ED532D0D-2305-4FE5-ABAA-BE919E5F6326}" name="资源标识" dataDxfId="211"/>
    <tableColumn id="5" xr3:uid="{97857D59-6EF6-4F04-B80C-81D22382D028}" name="标签类型" dataDxfId="210"/>
    <tableColumn id="9" xr3:uid="{C432B441-D6CF-42A7-9856-9F88A874882E}" name="标签分组" dataDxfId="209"/>
    <tableColumn id="10" xr3:uid="{D62A6F91-44E3-460D-B959-BA2A400A9F3E}" name="标签名称" dataDxfId="208"/>
    <tableColumn id="6" xr3:uid="{F0223AD9-2DB5-4E4E-BC3F-40B0926EE727}" name="标签描述" dataDxfId="207"/>
    <tableColumn id="7" xr3:uid="{B56DB67E-6693-42B1-BF95-FE9B94F8EC5E}" name="标签效果" dataDxfId="206"/>
    <tableColumn id="11" xr3:uid="{FCA8396C-6019-4522-A6D9-A04C40D1286F}" name="随机权重" dataDxfId="205"/>
    <tableColumn id="8" xr3:uid="{6890A786-1FCD-44C9-9A48-CD6A9963E5FC}" name="注释" dataDxfId="204"/>
  </tableColumns>
  <tableStyleInfo name="TableStyleMedium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B6F2A4B-F447-4ABB-ACAE-51FD2314D33D}" name="表5_7101112131415161718192021222324252627" displayName="表5_7101112131415161718192021222324252627" ref="A3:J20" totalsRowShown="0" headerRowDxfId="203" dataDxfId="202">
  <autoFilter ref="A3:J20" xr:uid="{34753D90-7DDA-4207-92FF-4DB9CCA40143}"/>
  <tableColumns count="10">
    <tableColumn id="1" xr3:uid="{CAB2EE13-7D2B-49AB-9801-A6B4FFED16DB}" name="#" dataDxfId="201"/>
    <tableColumn id="2" xr3:uid="{A9669262-4BBE-4A14-9108-18D560214E43}" name="版本号" dataDxfId="200"/>
    <tableColumn id="3" xr3:uid="{339B87AF-24D4-4134-8682-730E73CE064A}" name="编号" dataDxfId="199"/>
    <tableColumn id="4" xr3:uid="{A38622FA-3747-4404-9B2D-7347298A7B21}" name="资源" dataDxfId="198"/>
    <tableColumn id="5" xr3:uid="{42B0E47E-374A-4D4B-8539-90264CF32426}" name="名称" dataDxfId="197"/>
    <tableColumn id="9" xr3:uid="{4F6DE41A-D9DB-40B7-9576-4E4F8D936E06}" name="描述" dataDxfId="196"/>
    <tableColumn id="10" xr3:uid="{7130339B-D3A1-4518-8729-A05445D1E130}" name="类型" dataDxfId="195"/>
    <tableColumn id="6" xr3:uid="{2C870132-58D7-4E86-8B75-4942B4299E24}" name="字段名称1" dataDxfId="194"/>
    <tableColumn id="7" xr3:uid="{2AFD9F5E-741E-484C-B56F-B13B20EA6C96}" name="字段名称2" dataDxfId="193"/>
    <tableColumn id="8" xr3:uid="{B9DF1E9A-1222-46BF-8EB6-837EF8931D7E}" name="注释" dataDxfId="192"/>
  </tableColumns>
  <tableStyleInfo name="TableStyleMedium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B0B96DD-7071-472C-BA25-337AB89F231B}" name="表5_710111213141516171819202122232425262728" displayName="表5_710111213141516171819202122232425262728" ref="A3:J50" totalsRowShown="0" headerRowDxfId="191" dataDxfId="190">
  <autoFilter ref="A3:J50" xr:uid="{34753D90-7DDA-4207-92FF-4DB9CCA40143}"/>
  <tableColumns count="10">
    <tableColumn id="1" xr3:uid="{0D48775B-0D62-486A-864B-991BD1417774}" name="#" dataDxfId="189"/>
    <tableColumn id="2" xr3:uid="{35C119EC-7782-40F0-90AB-B65CF2E4CC4D}" name="版本号" dataDxfId="188"/>
    <tableColumn id="3" xr3:uid="{5D4F06F3-BC97-449C-89C8-0E0005284667}" name="巴孚编号" dataDxfId="187"/>
    <tableColumn id="4" xr3:uid="{2005275E-7CB7-4F51-AE14-75CF78977D89}" name="资源标识" dataDxfId="186"/>
    <tableColumn id="5" xr3:uid="{7BF9C76D-96DC-4466-B220-47ACA8406208}" name="巴孚名称" dataDxfId="185"/>
    <tableColumn id="9" xr3:uid="{2DE7F5DA-74F0-4792-8B87-AD583464A9DD}" name="巴孚描述" dataDxfId="184"/>
    <tableColumn id="10" xr3:uid="{82FE2280-FDB8-4B91-AB75-2F8DD2AA1F9D}" name="效果说明" dataDxfId="183"/>
    <tableColumn id="6" xr3:uid="{B702A052-1B66-4C48-8EBE-C09640B8930C}" name="效果列表" dataDxfId="182"/>
    <tableColumn id="7" xr3:uid="{945AB249-C175-4A92-8F99-FD316D653870}" name="清除条件" dataDxfId="181"/>
    <tableColumn id="8" xr3:uid="{11F013CF-5D34-4E91-A4D0-279A3EF45519}" name="注释" dataDxfId="180"/>
  </tableColumns>
  <tableStyleInfo name="TableStyleMedium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09A1281-F7D9-43BB-8C99-D7923138BB9F}" name="表5_71011121314151617181920212223242526272829" displayName="表5_71011121314151617181920212223242526272829" ref="A3:I60" totalsRowShown="0" headerRowDxfId="179" dataDxfId="178">
  <autoFilter ref="A3:I60" xr:uid="{34753D90-7DDA-4207-92FF-4DB9CCA40143}"/>
  <tableColumns count="9">
    <tableColumn id="1" xr3:uid="{E123F3F7-8BBC-40E6-BC6E-FDDBABAA79FC}" name="#" dataDxfId="177"/>
    <tableColumn id="2" xr3:uid="{53775A7E-8C6C-49A3-8929-4733F85FAB70}" name="版本号" dataDxfId="176"/>
    <tableColumn id="3" xr3:uid="{AA0F9E47-3174-4C8E-B262-BAF286B182BC}" name="效果编号" dataDxfId="175"/>
    <tableColumn id="4" xr3:uid="{D5F07F51-D23B-44EC-A3B5-993B32234DBC}" name="资源标识" dataDxfId="174"/>
    <tableColumn id="5" xr3:uid="{5717296A-F121-4797-B1D6-F9C9F1B66AAC}" name="效果类型" dataDxfId="173"/>
    <tableColumn id="9" xr3:uid="{F256C13E-49AC-41CB-9545-29786675D749}" name="生效条件" dataDxfId="172"/>
    <tableColumn id="10" xr3:uid="{F2103D65-B896-4423-BD69-0425F6583EAF}" name="生效几率" dataDxfId="171"/>
    <tableColumn id="6" xr3:uid="{BEFAE909-662B-4407-BD23-98D55E36B47B}" name="生效模式" dataDxfId="170"/>
    <tableColumn id="8" xr3:uid="{8A9F98E6-17A4-4C3B-85FB-18581E5106AD}" name="注释" dataDxfId="169"/>
  </tableColumns>
  <tableStyleInfo name="TableStyleMedium8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6258B08-DCBD-44A8-B16E-408CB871C436}" name="表5_7101112131415161718192021222324252627282930" displayName="表5_7101112131415161718192021222324252627282930" ref="A3:O55" totalsRowShown="0" headerRowDxfId="168" dataDxfId="167">
  <autoFilter ref="A3:O55" xr:uid="{34753D90-7DDA-4207-92FF-4DB9CCA40143}"/>
  <tableColumns count="15">
    <tableColumn id="1" xr3:uid="{8CA25B25-DF18-4F91-8B06-EEF6308FC82A}" name="#" dataDxfId="166"/>
    <tableColumn id="2" xr3:uid="{56D2CDC5-21FF-40F4-9FAB-F6E10E83EADE}" name="版本号" dataDxfId="165"/>
    <tableColumn id="3" xr3:uid="{19074EC4-FC1B-495A-BD15-5C4A236C584B}" name="物品编号" dataDxfId="164"/>
    <tableColumn id="4" xr3:uid="{03CE40C5-52C1-43B0-9113-801231CB7B46}" name="资源标识" dataDxfId="163"/>
    <tableColumn id="5" xr3:uid="{65AEEE4A-54AC-4B7C-81AC-4835E16723EA}" name="物品类型" dataDxfId="162"/>
    <tableColumn id="9" xr3:uid="{7676BED6-2CDE-4B0E-805A-C1ACC1321E3E}" name="物品签组" dataDxfId="161"/>
    <tableColumn id="10" xr3:uid="{01CE65EF-22B0-472B-859B-AEDCC5C1F232}" name="物品名称" dataDxfId="160"/>
    <tableColumn id="6" xr3:uid="{C9B56EDA-3B2A-4EE2-AE09-B07654665B44}" name="物品描述" dataDxfId="159"/>
    <tableColumn id="11" xr3:uid="{982D23BA-49F4-4517-9E39-82A9FC2F86E9}" name="储存模式" dataDxfId="158"/>
    <tableColumn id="15" xr3:uid="{5E25931D-DD95-4A76-9758-792C1ACBCCA2}" name="堆叠数量" dataDxfId="157"/>
    <tableColumn id="12" xr3:uid="{02E13B6D-B01B-4405-82CF-F61929B62EBD}" name="腐坏间隔" dataDxfId="156"/>
    <tableColumn id="7" xr3:uid="{50E1D4EA-13DC-46E3-B475-EDCFCED34680}" name="物品价格" dataDxfId="155"/>
    <tableColumn id="14" xr3:uid="{990934AF-BFFF-439B-8238-A057D13FDDAC}" name="附加属性" dataDxfId="154"/>
    <tableColumn id="13" xr3:uid="{D140A7D7-4772-4139-A720-F4C7EBBFD416}" name="获取来源" dataDxfId="153"/>
    <tableColumn id="8" xr3:uid="{67BEC536-EB1C-4F60-9600-2B223BC2CFFF}" name="注释" dataDxfId="152"/>
  </tableColumns>
  <tableStyleInfo name="TableStyleMedium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2746F6A-CE1B-4415-A022-93A9A17F505F}" name="表5_710111213141516171819202122232425262728293031" displayName="表5_710111213141516171819202122232425262728293031" ref="A3:F60" totalsRowShown="0" headerRowDxfId="151" dataDxfId="150">
  <autoFilter ref="A3:F60" xr:uid="{34753D90-7DDA-4207-92FF-4DB9CCA40143}"/>
  <tableColumns count="6">
    <tableColumn id="1" xr3:uid="{55B5441F-72A6-46AE-977F-DE37D8BC3AD3}" name="#" dataDxfId="149"/>
    <tableColumn id="2" xr3:uid="{447CB19B-90EE-44D8-BB74-D08ED3400AF7}" name="版本号" dataDxfId="148"/>
    <tableColumn id="3" xr3:uid="{5206554E-E3FC-4353-9499-94D4D4983B4D}" name="掉落编号" dataDxfId="147"/>
    <tableColumn id="4" xr3:uid="{803B4E7C-7283-442F-A88D-1DC062E27E06}" name="掉落类型" dataDxfId="146"/>
    <tableColumn id="5" xr3:uid="{EBE46932-F570-47C7-A953-DF56AAF910FF}" name="掉落内容" dataDxfId="145"/>
    <tableColumn id="8" xr3:uid="{8908E547-F7F6-481A-A8DB-9F73774221EA}" name="注释" dataDxfId="144"/>
  </tableColumns>
  <tableStyleInfo name="TableStyleMedium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84423DA-905A-40E2-BFCD-C8628E360443}" name="表5_34" displayName="表5_34" ref="A3:L20" totalsRowShown="0" headerRowDxfId="143" dataDxfId="142">
  <autoFilter ref="A3:L20" xr:uid="{34753D90-7DDA-4207-92FF-4DB9CCA40143}"/>
  <tableColumns count="12">
    <tableColumn id="1" xr3:uid="{2C90C8E8-E6B8-472F-9213-5DBB4805DDEB}" name="#" dataDxfId="141"/>
    <tableColumn id="2" xr3:uid="{8C9B0912-7913-474B-80A7-A0C545F6510D}" name="版本号" dataDxfId="140"/>
    <tableColumn id="3" xr3:uid="{57F879B0-DDB6-493A-8748-820CB316987D}" name="配方编号" dataDxfId="139"/>
    <tableColumn id="4" xr3:uid="{FA8B3FF6-8DE7-4E52-889E-50F975A4FEE0}" name="资源标识" dataDxfId="138"/>
    <tableColumn id="5" xr3:uid="{7692FF50-E87F-46EF-868D-0862B98D0001}" name="配方类型" dataDxfId="137"/>
    <tableColumn id="9" xr3:uid="{B93CEC2A-C926-410D-87CF-82B4928CFDB1}" name="配方名称" dataDxfId="136"/>
    <tableColumn id="10" xr3:uid="{643B68E3-489D-4A25-BBB6-AFE785A4B728}" name="配方描述" dataDxfId="135"/>
    <tableColumn id="6" xr3:uid="{8BDA2543-0335-4E6B-A017-25A923060D3F}" name="目标物品" dataDxfId="134"/>
    <tableColumn id="7" xr3:uid="{D366CBFF-00F6-4D7C-ADBC-E0DA11D5921E}" name="产出掉落" dataDxfId="133"/>
    <tableColumn id="11" xr3:uid="{36682B7C-2E27-4441-A62B-4905EC35027E}" name="原料物品" dataDxfId="132"/>
    <tableColumn id="12" xr3:uid="{9C86F99D-1251-4118-9BB3-9F03D1BFD908}" name="产出间隔" dataDxfId="131"/>
    <tableColumn id="8" xr3:uid="{58F51469-D897-46B1-834E-DA31A52D0B1C}" name="注释" dataDxfId="130"/>
  </tableColumns>
  <tableStyleInfo name="TableStyleMedium8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987FA761-6DD9-4503-8310-D77A6BD04776}" name="表5_35" displayName="表5_35" ref="A3:R80" totalsRowShown="0" headerRowDxfId="129" dataDxfId="128">
  <autoFilter ref="A3:R80" xr:uid="{34753D90-7DDA-4207-92FF-4DB9CCA40143}"/>
  <tableColumns count="18">
    <tableColumn id="1" xr3:uid="{03B5B4CB-1AD4-41C6-9060-58FC9442024D}" name="#" dataDxfId="127"/>
    <tableColumn id="2" xr3:uid="{7432C5B5-0EF2-484E-B8D8-C6FAE04FF342}" name="版本号" dataDxfId="126"/>
    <tableColumn id="3" xr3:uid="{9E0DD9DC-9989-4D17-9F07-5FEA40D7F27F}" name="物件编号" dataDxfId="125"/>
    <tableColumn id="4" xr3:uid="{E468C4B4-F47C-47B8-B8CD-A9C186EE49C4}" name="资源标识" dataDxfId="124"/>
    <tableColumn id="5" xr3:uid="{276B401B-3542-4DB5-B6E6-1BFB6A5B72B8}" name="物件类型" dataDxfId="123"/>
    <tableColumn id="11" xr3:uid="{67C7D788-2472-404A-8CC4-8A866E76368C}" name="物件名称" dataDxfId="122"/>
    <tableColumn id="12" xr3:uid="{55383F16-244B-46BD-90EC-D23C09C47B8B}" name="物件描述" dataDxfId="121"/>
    <tableColumn id="13" xr3:uid="{080D1818-7FB2-49D0-9239-4830C23C3D76}" name="生长物件" dataDxfId="120"/>
    <tableColumn id="15" xr3:uid="{08F94DD2-8307-4A9B-BF3D-252250780E9A}" name="生长时长" dataDxfId="119"/>
    <tableColumn id="14" xr3:uid="{5581CC15-70CE-42F7-8449-C1084474AF40}" name="培育行为" dataDxfId="118"/>
    <tableColumn id="16" xr3:uid="{33EBAC74-3623-40B0-98AC-41C6070A0BA1}" name="培育时长" dataDxfId="117"/>
    <tableColumn id="6" xr3:uid="{4AE0EA8B-5D44-411A-8C2F-E350574AE6B5}" name="培育消耗" dataDxfId="116"/>
    <tableColumn id="17" xr3:uid="{8F1F6CB6-7706-4D37-8510-C62CC714F619}" name="收获行为" dataDxfId="115"/>
    <tableColumn id="18" xr3:uid="{0912F61F-D46D-4E12-BE01-171C5A3470BB}" name="收获时长" dataDxfId="114"/>
    <tableColumn id="9" xr3:uid="{E8B020BA-78CE-4C4F-B6EF-0B6AA6A5D043}" name="收获掉落" dataDxfId="113"/>
    <tableColumn id="10" xr3:uid="{AD8E89AF-542D-4305-BB00-A0CE87FF0C40}" name="收获容量" dataDxfId="112"/>
    <tableColumn id="7" xr3:uid="{37428441-3795-4903-A67A-020771659938}" name="回复间隔" dataDxfId="111"/>
    <tableColumn id="8" xr3:uid="{40FE6177-E65B-414F-B529-22BF8B23260A}" name="注释" dataDxfId="110"/>
  </tableColumns>
  <tableStyleInfo name="TableStyleMedium8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8AEC48-829A-45A1-8130-F300B55BC735}" name="表5_32" displayName="表5_32" ref="A3:Z54" totalsRowShown="0" headerRowDxfId="109" dataDxfId="108">
  <autoFilter ref="A3:Z54" xr:uid="{34753D90-7DDA-4207-92FF-4DB9CCA40143}"/>
  <tableColumns count="26">
    <tableColumn id="1" xr3:uid="{7C5DABD5-487E-48FD-AB09-86D70E4A6A30}" name="#" dataDxfId="107"/>
    <tableColumn id="2" xr3:uid="{CD3D92B0-ED82-4306-949A-7A3AD101EBE0}" name="版本号" dataDxfId="106"/>
    <tableColumn id="3" xr3:uid="{82CE6111-657A-4E68-8BA6-2245D2113B5C}" name="建筑编号" dataDxfId="105"/>
    <tableColumn id="4" xr3:uid="{3792B183-D79D-4904-8505-6563C5E6A47D}" name="资源标识" dataDxfId="104"/>
    <tableColumn id="5" xr3:uid="{CC831783-913B-48EF-AA5B-679E3F316A7E}" name="建筑分类" dataDxfId="103"/>
    <tableColumn id="22" xr3:uid="{51577BB4-B005-479C-881A-D3822365C8C5}" name="建筑签组" dataDxfId="102"/>
    <tableColumn id="17" xr3:uid="{C9C9BD33-028F-4D9E-B9D2-9DC2872DF592}" name="建筑名称" dataDxfId="101"/>
    <tableColumn id="18" xr3:uid="{3C88A148-54FB-4786-8D64-8E6143440BDA}" name="建筑描述" dataDxfId="100"/>
    <tableColumn id="20" xr3:uid="{8C47BC84-5342-4398-ADC6-20AF2C076777}" name="解锁数量" dataDxfId="99"/>
    <tableColumn id="21" xr3:uid="{D93BD021-1333-4054-B374-1E126F88A5DF}" name="前置建筑" dataDxfId="98"/>
    <tableColumn id="12" xr3:uid="{F7CFD810-8805-49B2-B59F-249E5D4A9956}" name="建筑费用" dataDxfId="97"/>
    <tableColumn id="25" xr3:uid="{D79C149D-C515-4C84-841B-FD5606BE3E48}" name="建筑材料" dataDxfId="96"/>
    <tableColumn id="19" xr3:uid="{28084ED9-67D9-410A-BB18-96F9B8D58F61}" name="建筑耐久" dataDxfId="95"/>
    <tableColumn id="26" xr3:uid="{5EBBA960-BF7E-4229-90A2-C47C8D02F65E}" name="拆除模式" dataDxfId="94"/>
    <tableColumn id="13" xr3:uid="{7E8CD3C9-9BBF-4789-9CE4-ECDBBB5D0F4B}" name="岗位列表" dataDxfId="93"/>
    <tableColumn id="23" xr3:uid="{4A761126-A5D3-4EDF-83FB-9FBA607C4AEC}" name="目标范围" dataDxfId="92"/>
    <tableColumn id="24" xr3:uid="{55689B4F-DAED-4B02-9434-BAAA2E503AF5}" name="目标筛选" dataDxfId="91"/>
    <tableColumn id="14" xr3:uid="{5054344D-CFF0-47A8-BD19-90CFDB823153}" name="储存列表" dataDxfId="90"/>
    <tableColumn id="15" xr3:uid="{D2EC63AF-F952-40A7-AE13-EC688B887D1E}" name="储存容量" dataDxfId="89"/>
    <tableColumn id="16" xr3:uid="{1D2282C0-8220-4A01-9D76-ADA08A8B7846}" name="腐坏修正" dataDxfId="88"/>
    <tableColumn id="6" xr3:uid="{38C5E6E9-6EC4-4364-9B41-06686FDF036C}" name="标签列表" dataDxfId="87"/>
    <tableColumn id="7" xr3:uid="{AC9C79F2-059B-445A-8AA6-F73446F84435}" name="任务列表" dataDxfId="86"/>
    <tableColumn id="9" xr3:uid="{DC6332CC-41DA-4175-9B33-F50AC18907A5}" name="扩建插件" dataDxfId="85"/>
    <tableColumn id="10" xr3:uid="{8F29A4AA-9E6D-4CED-9F99-543B2DB8329B}" name="扩建上限" dataDxfId="84"/>
    <tableColumn id="11" xr3:uid="{7DFADBF9-7BAC-4B58-A956-EDCEE836CA86}" name="附加属性" dataDxfId="83"/>
    <tableColumn id="8" xr3:uid="{AE7BB976-50FE-4FD8-9726-FC2FF2365A03}" name="注释" dataDxfId="82"/>
  </tableColumns>
  <tableStyleInfo name="TableStyleMedium8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D353A36-C68A-480F-B65B-298770207581}" name="表5_36" displayName="表5_36" ref="A3:H20" totalsRowShown="0" headerRowDxfId="81" dataDxfId="80">
  <autoFilter ref="A3:H20" xr:uid="{34753D90-7DDA-4207-92FF-4DB9CCA40143}"/>
  <tableColumns count="8">
    <tableColumn id="1" xr3:uid="{69A6101F-D203-4852-9419-68D0273C3B32}" name="#" dataDxfId="79"/>
    <tableColumn id="2" xr3:uid="{A31A616B-B830-488E-A28A-6F27CE650310}" name="版本号" dataDxfId="78"/>
    <tableColumn id="3" xr3:uid="{28F9222F-BF42-4134-B77C-DA42333C3114}" name="章节编号" dataDxfId="77"/>
    <tableColumn id="4" xr3:uid="{2462B9E9-DF71-40B9-95E2-D1A0F6B02A7F}" name="资源标识" dataDxfId="76"/>
    <tableColumn id="5" xr3:uid="{9C5AD845-C08F-41FC-8FCB-279EDA8FD6CA}" name="章节标题" dataDxfId="75"/>
    <tableColumn id="9" xr3:uid="{88C53F74-BE50-409C-A457-297AFB7290F2}" name="章节名称" dataDxfId="74"/>
    <tableColumn id="10" xr3:uid="{7AD0574D-38D1-4005-8244-E2F3081CD31F}" name="章节描述" dataDxfId="73"/>
    <tableColumn id="8" xr3:uid="{02E48FE1-5CA4-4726-8323-C0A6A92550D0}" name="注释" dataDxfId="72"/>
  </tableColumns>
  <tableStyleInfo name="TableStyleMedium8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B0C0478-441C-46A8-85D6-FB0D45657E53}" name="表5_3637" displayName="表5_3637" ref="A3:T40" totalsRowShown="0" headerRowDxfId="71" dataDxfId="70">
  <autoFilter ref="A3:T40" xr:uid="{34753D90-7DDA-4207-92FF-4DB9CCA40143}"/>
  <tableColumns count="20">
    <tableColumn id="1" xr3:uid="{39F644E7-231E-4DCE-98CA-955F6ECECD10}" name="#" dataDxfId="69"/>
    <tableColumn id="2" xr3:uid="{489FF2A6-73F7-4628-8A00-FAFE7398FC4E}" name="版本号" dataDxfId="68"/>
    <tableColumn id="3" xr3:uid="{C77FC80D-B2D3-482F-87D5-72CB719AE587}" name="任务编号" dataDxfId="67"/>
    <tableColumn id="4" xr3:uid="{15A69885-2172-4BE6-9D35-D3DA0CCC1660}" name="资源标识" dataDxfId="66"/>
    <tableColumn id="5" xr3:uid="{E52B8E88-275D-4441-AE08-D9E82054AAE6}" name="任务类型" dataDxfId="65"/>
    <tableColumn id="9" xr3:uid="{122303D2-9131-4EAA-BC6D-6EC524D426A9}" name="任务分组" dataDxfId="64"/>
    <tableColumn id="10" xr3:uid="{70FC23B1-7CBA-43C1-BC85-29C3FC884041}" name="任务等级" dataDxfId="63"/>
    <tableColumn id="6" xr3:uid="{90AE9867-A1B9-4C4E-8318-4F508974FF54}" name="任务名称" dataDxfId="62"/>
    <tableColumn id="11" xr3:uid="{EA6AB5ED-7A47-4D0C-A3B7-995AFF47B0A7}" name="任务描述" dataDxfId="61"/>
    <tableColumn id="12" xr3:uid="{51743BC8-9933-42FB-8E53-46603B29EFE9}" name="触发条件" dataDxfId="60"/>
    <tableColumn id="19" xr3:uid="{E42DDF2C-5BF7-4B31-B4D8-6F30D6390F74}" name="条件说明" dataDxfId="59"/>
    <tableColumn id="13" xr3:uid="{E8B170A6-A067-4FF0-A1CB-A32D9CA618C8}" name="任务目标" dataDxfId="58"/>
    <tableColumn id="20" xr3:uid="{FDC0DE3D-068A-496B-83F3-374FF0DB19A3}" name="目标说明" dataDxfId="57"/>
    <tableColumn id="14" xr3:uid="{661A1F26-C84D-4494-A9AB-6240C6B172F4}" name="可用时间" dataDxfId="56"/>
    <tableColumn id="15" xr3:uid="{7F960514-BBC2-420F-9DA2-FD6692B1FEBE}" name="执行时间" dataDxfId="55"/>
    <tableColumn id="16" xr3:uid="{0775FAF1-61EE-40E7-BC80-9041CA838C33}" name="领取剧情" dataDxfId="54"/>
    <tableColumn id="17" xr3:uid="{A9B81F10-9689-43C8-944D-11216FE3A1BE}" name="交付剧情" dataDxfId="53"/>
    <tableColumn id="18" xr3:uid="{F4A86595-8561-43FA-98E4-2DC19EC41463}" name="任务奖励" dataDxfId="52"/>
    <tableColumn id="7" xr3:uid="{2D74F0D2-7DE3-4604-A131-08F25E67C6BD}" name="章节过场" dataDxfId="51"/>
    <tableColumn id="8" xr3:uid="{27264800-7815-4184-932B-E7F51A8A2C2D}" name="注释" dataDxfId="50"/>
  </tableColumns>
  <tableStyleInfo name="TableStyleMedium8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978BC32-48A5-4AEC-A512-BAC24B87A167}" name="表5_363738" displayName="表5_363738" ref="A3:U30" totalsRowShown="0" headerRowDxfId="49" dataDxfId="48">
  <autoFilter ref="A3:U30" xr:uid="{34753D90-7DDA-4207-92FF-4DB9CCA40143}"/>
  <tableColumns count="21">
    <tableColumn id="1" xr3:uid="{0FCFECF0-9E9D-4A5C-BF00-0F307F3633FE}" name="#" dataDxfId="47"/>
    <tableColumn id="2" xr3:uid="{37B0A52E-C093-4C52-99F8-4F5B997FEDC8}" name="版本号" dataDxfId="46"/>
    <tableColumn id="3" xr3:uid="{72839785-D628-490A-B35B-8EBC55720B76}" name="事件编号" dataDxfId="45"/>
    <tableColumn id="4" xr3:uid="{A8B005F8-B6F3-4C7D-8C37-2C06B742287D}" name="资源标识" dataDxfId="44"/>
    <tableColumn id="5" xr3:uid="{34A0F0B4-94FB-4311-965F-9BDD17CC09D1}" name="事件类型" dataDxfId="43"/>
    <tableColumn id="9" xr3:uid="{5857A0B1-7518-4E20-A140-240E17475F2D}" name="事件分组" dataDxfId="42"/>
    <tableColumn id="10" xr3:uid="{A91BFDA1-B503-407A-82E5-79A56208583F}" name="事件名称" dataDxfId="41"/>
    <tableColumn id="6" xr3:uid="{5FE60173-F307-40BE-94B0-53823B711986}" name="事件描述" dataDxfId="40"/>
    <tableColumn id="11" xr3:uid="{228AC40B-8A1E-448C-BB9E-8331A537DCCC}" name="主触发器" dataDxfId="39"/>
    <tableColumn id="19" xr3:uid="{5904B427-00E2-4BEF-A224-9ECEAC82D7A1}" name="触发器说明" dataDxfId="38"/>
    <tableColumn id="12" xr3:uid="{48100717-5B24-426C-8773-BE2D8DCC0AFA}" name="额外条件" dataDxfId="37"/>
    <tableColumn id="20" xr3:uid="{B7702019-93F8-489B-99D2-8A2D9ADC1E11}" name="条件说明" dataDxfId="36"/>
    <tableColumn id="18" xr3:uid="{3370E044-4103-4C21-9E22-1BF449916A78}" name="触发优先" dataDxfId="35"/>
    <tableColumn id="13" xr3:uid="{CA06F2B8-81EB-42D8-BBD9-D406BFE72BAB}" name="触发权重" dataDxfId="34"/>
    <tableColumn id="14" xr3:uid="{9C34CD40-B31E-4A8F-BDAE-4B503190CEE1}" name="触发延迟" dataDxfId="33"/>
    <tableColumn id="7" xr3:uid="{7B41ACF9-1480-4139-985E-3BF82FF5A718}" name="触发提示" dataDxfId="32"/>
    <tableColumn id="15" xr3:uid="{3641877D-C5C7-4E81-8D59-E0A8F69FED27}" name="事件演出" dataDxfId="31"/>
    <tableColumn id="16" xr3:uid="{60578B3A-9630-4909-BD60-3F5EE679A7D9}" name="演员列表" dataDxfId="30"/>
    <tableColumn id="17" xr3:uid="{3DB18B62-4B33-460D-A958-A221A12F4C2B}" name="奖励列表" dataDxfId="29"/>
    <tableColumn id="22" xr3:uid="{C5FB9355-4E0E-471B-9B7A-AFEB3C4E8D61}" name="标签列表" dataDxfId="28"/>
    <tableColumn id="8" xr3:uid="{6FA13CF2-3094-4478-84DB-9990CB7A0EE2}" name="注释" dataDxfId="27"/>
  </tableColumns>
  <tableStyleInfo name="TableStyleMedium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F7DDBB0C-361A-423B-901C-84990751398B}" name="表5_3637383940" displayName="表5_3637383940" ref="A3:J40" totalsRowShown="0" headerRowDxfId="26" dataDxfId="25">
  <autoFilter ref="A3:J40" xr:uid="{34753D90-7DDA-4207-92FF-4DB9CCA40143}"/>
  <tableColumns count="10">
    <tableColumn id="1" xr3:uid="{D924CE56-777B-4745-95B2-2E708BC1992F}" name="#" dataDxfId="24"/>
    <tableColumn id="2" xr3:uid="{CFCAD577-9083-4F34-8C88-D21FB9ECA622}" name="版本号" dataDxfId="23"/>
    <tableColumn id="3" xr3:uid="{07DB4CFE-46D3-42EF-A7B7-A648993F9B18}" name="剧情编号" dataDxfId="22"/>
    <tableColumn id="4" xr3:uid="{618F10F2-14F2-4284-AA1E-D5DC973D2AB1}" name="资源标识" dataDxfId="21"/>
    <tableColumn id="5" xr3:uid="{FB884412-2790-4623-BB75-E235236C3ED3}" name="剧情类型" dataDxfId="20"/>
    <tableColumn id="9" xr3:uid="{F901E088-5013-4EC7-B65C-944E656851B7}" name="剧情名称" dataDxfId="19"/>
    <tableColumn id="10" xr3:uid="{BBABD88F-F0FB-45FA-B082-A82668C95195}" name="剧情描述" dataDxfId="18"/>
    <tableColumn id="6" xr3:uid="{48CAC3F2-F345-42A9-A5F2-B85A31B9F16F}" name="关联对话树" dataDxfId="17"/>
    <tableColumn id="7" xr3:uid="{D3239293-D116-4306-9587-6C1FB0623D1E}" name="演员列表" dataDxfId="16"/>
    <tableColumn id="8" xr3:uid="{881A1772-189C-46B5-88A7-3136E28E6959}" name="注释" dataDxfId="15"/>
  </tableColumns>
  <tableStyleInfo name="TableStyleMedium8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3909342-80C7-4C12-942E-DF91EEA2A10B}" name="表5_36373839" displayName="表5_36373839" ref="A3:M40" totalsRowShown="0" headerRowDxfId="14" dataDxfId="13">
  <autoFilter ref="A3:M40" xr:uid="{34753D90-7DDA-4207-92FF-4DB9CCA40143}"/>
  <tableColumns count="13">
    <tableColumn id="1" xr3:uid="{5B657CF4-EEEA-476B-92CB-877FD575134A}" name="#" dataDxfId="12"/>
    <tableColumn id="2" xr3:uid="{18A129C8-2993-4DC5-A32F-612E6E2ABDBE}" name="版本号" dataDxfId="11"/>
    <tableColumn id="3" xr3:uid="{52432C29-4740-4EDE-AC92-7F4B32823558}" name="对白编号" dataDxfId="10"/>
    <tableColumn id="4" xr3:uid="{959EB32A-F676-4869-A6B5-4DA8045C0610}" name="资源标识" dataDxfId="9"/>
    <tableColumn id="5" xr3:uid="{F6F699B9-E4F0-4FD0-ACB2-9FE2DCD9B421}" name="所属对话树" dataDxfId="8"/>
    <tableColumn id="9" xr3:uid="{D0F527E8-A5A4-4229-99D6-6CD3041D8499}" name="演员标识" dataDxfId="7"/>
    <tableColumn id="10" xr3:uid="{84055656-EF26-45FD-8D6F-8BA05D83C956}" name="演员名称" dataDxfId="6"/>
    <tableColumn id="11" xr3:uid="{2E37458C-EEC4-452C-BD69-384281FD26F6}" name="动态立绘" dataDxfId="5"/>
    <tableColumn id="12" xr3:uid="{FAE17548-CC99-4562-BB35-5473A360363A}" name="立绘位置" dataDxfId="4"/>
    <tableColumn id="13" xr3:uid="{0322AC1B-D03F-49A0-8AC9-6FADA8B6DA01}" name="对白颜色" dataDxfId="3"/>
    <tableColumn id="6" xr3:uid="{483ACBD8-780E-405A-B946-5B64BADEF47F}" name="对白文本" dataDxfId="2"/>
    <tableColumn id="7" xr3:uid="{35986991-1C88-4A00-BBEF-0DC2608726C8}" name="对白音频" dataDxfId="1"/>
    <tableColumn id="8" xr3:uid="{FD2291B8-A5CD-43F6-8E4E-E9C1354ABDCD}" name="注释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table" Target="../tables/table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table" Target="../tables/table2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table" Target="../tables/table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table" Target="../tables/table2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table" Target="../tables/table2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table" Target="../tables/table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table" Target="../tables/table3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table" Target="../tables/table3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table" Target="../tables/table3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table" Target="../tables/table3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table" Target="../tables/table3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table" Target="../tables/table3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table" Target="../tables/table3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53631-2C64-47C6-9581-AC4DB02A128E}">
  <sheetPr codeName="Sheet1"/>
  <dimension ref="B2:L42"/>
  <sheetViews>
    <sheetView tabSelected="1" zoomScaleNormal="100" workbookViewId="0">
      <selection activeCell="B3" sqref="B3"/>
    </sheetView>
  </sheetViews>
  <sheetFormatPr defaultColWidth="10.625" defaultRowHeight="16.5" x14ac:dyDescent="0.35"/>
  <cols>
    <col min="1" max="1" width="10.625" style="10"/>
    <col min="2" max="3" width="20.625" style="10" customWidth="1"/>
    <col min="4" max="4" width="50.625" style="10" customWidth="1"/>
    <col min="5" max="5" width="10.625" style="10"/>
    <col min="6" max="12" width="15.625" style="10" customWidth="1"/>
    <col min="13" max="17" width="12.625" style="10" customWidth="1"/>
    <col min="18" max="16384" width="10.625" style="10"/>
  </cols>
  <sheetData>
    <row r="2" spans="2:12" ht="18" x14ac:dyDescent="0.35">
      <c r="B2" s="18" t="s">
        <v>113</v>
      </c>
      <c r="D2" s="83"/>
      <c r="F2" s="82" t="s">
        <v>114</v>
      </c>
      <c r="G2" s="82"/>
      <c r="H2" s="82"/>
      <c r="I2" s="20" t="s">
        <v>132</v>
      </c>
      <c r="J2" s="20" t="s">
        <v>133</v>
      </c>
      <c r="K2" s="20" t="s">
        <v>134</v>
      </c>
      <c r="L2" s="22" t="s">
        <v>112</v>
      </c>
    </row>
    <row r="3" spans="2:12" x14ac:dyDescent="0.35">
      <c r="B3" s="16" t="s">
        <v>108</v>
      </c>
      <c r="D3" s="84"/>
      <c r="F3" s="19" t="s">
        <v>105</v>
      </c>
      <c r="G3" s="19" t="s">
        <v>106</v>
      </c>
      <c r="H3" s="19" t="s">
        <v>107</v>
      </c>
      <c r="I3" s="21" t="s">
        <v>108</v>
      </c>
      <c r="J3" s="21" t="s">
        <v>109</v>
      </c>
      <c r="K3" s="21" t="s">
        <v>110</v>
      </c>
      <c r="L3" s="23" t="s">
        <v>111</v>
      </c>
    </row>
    <row r="4" spans="2:12" ht="16.5" customHeight="1" x14ac:dyDescent="0.35">
      <c r="C4" s="17"/>
      <c r="D4" s="17"/>
      <c r="F4" s="78" t="str" cm="1">
        <f t="array" aca="1" ref="F4" ca="1">HYPERLINK("#"&amp;INDEX(SheetName,ROW(A3))&amp;"!A1",INDEX(SheetName,ROW(A3)))</f>
        <v>GameConfig</v>
      </c>
      <c r="G4" s="8" t="s">
        <v>1397</v>
      </c>
      <c r="H4" s="8" t="s">
        <v>401</v>
      </c>
      <c r="I4" s="15">
        <v>100</v>
      </c>
      <c r="J4" s="15"/>
      <c r="K4" s="15"/>
      <c r="L4" s="15"/>
    </row>
    <row r="5" spans="2:12" ht="16.5" customHeight="1" x14ac:dyDescent="0.35">
      <c r="B5" s="7" t="s">
        <v>82</v>
      </c>
      <c r="C5" s="7" t="s">
        <v>81</v>
      </c>
      <c r="D5" s="7" t="s">
        <v>83</v>
      </c>
      <c r="F5" s="78" t="str" cm="1">
        <f t="array" aca="1" ref="F5" ca="1">HYPERLINK("#"&amp;INDEX(SheetName,ROW(A4))&amp;"!A1",INDEX(SheetName,ROW(A4)))</f>
        <v>GameDict</v>
      </c>
      <c r="G5" s="8" t="s">
        <v>1398</v>
      </c>
      <c r="H5" s="8" t="s">
        <v>402</v>
      </c>
      <c r="I5" s="15">
        <v>100</v>
      </c>
      <c r="J5" s="15"/>
      <c r="K5" s="15"/>
      <c r="L5" s="15"/>
    </row>
    <row r="6" spans="2:12" x14ac:dyDescent="0.35">
      <c r="B6" s="13" t="s">
        <v>85</v>
      </c>
      <c r="C6" s="13" t="s">
        <v>84</v>
      </c>
      <c r="D6" s="13" t="s">
        <v>96</v>
      </c>
      <c r="F6" s="78" t="str" cm="1">
        <f t="array" aca="1" ref="F6" ca="1">HYPERLINK("#"&amp;INDEX(SheetName,ROW(A5))&amp;"!A1",INDEX(SheetName,ROW(A5)))</f>
        <v>Numerical</v>
      </c>
      <c r="G6" s="8" t="s">
        <v>1399</v>
      </c>
      <c r="H6" s="8" t="s">
        <v>403</v>
      </c>
      <c r="I6" s="15">
        <v>0</v>
      </c>
      <c r="J6" s="15"/>
      <c r="K6" s="15"/>
      <c r="L6" s="15"/>
    </row>
    <row r="7" spans="2:12" x14ac:dyDescent="0.35">
      <c r="B7" s="7" t="s">
        <v>86</v>
      </c>
      <c r="C7" s="7" t="s">
        <v>91</v>
      </c>
      <c r="D7" s="14" t="s">
        <v>115</v>
      </c>
      <c r="F7" s="78" t="str" cm="1">
        <f t="array" aca="1" ref="F7" ca="1">HYPERLINK("#"&amp;INDEX(SheetName,ROW(A6))&amp;"!A1",INDEX(SheetName,ROW(A6)))</f>
        <v>GameFunc</v>
      </c>
      <c r="G7" s="8" t="s">
        <v>1400</v>
      </c>
      <c r="H7" s="8" t="s">
        <v>404</v>
      </c>
      <c r="I7" s="15">
        <v>0</v>
      </c>
      <c r="J7" s="15"/>
      <c r="K7" s="15"/>
      <c r="L7" s="15"/>
    </row>
    <row r="8" spans="2:12" x14ac:dyDescent="0.35">
      <c r="B8" s="7" t="s">
        <v>87</v>
      </c>
      <c r="C8" s="7" t="s">
        <v>92</v>
      </c>
      <c r="D8" s="14" t="s">
        <v>116</v>
      </c>
      <c r="F8" s="78" t="str" cm="1">
        <f t="array" aca="1" ref="F8" ca="1">HYPERLINK("#"&amp;INDEX(SheetName,ROW(A7))&amp;"!A1",INDEX(SheetName,ROW(A7)))</f>
        <v>GameSettings</v>
      </c>
      <c r="G8" s="8" t="s">
        <v>1401</v>
      </c>
      <c r="H8" s="8" t="s">
        <v>405</v>
      </c>
      <c r="I8" s="15">
        <v>0</v>
      </c>
      <c r="J8" s="15"/>
      <c r="K8" s="15"/>
      <c r="L8" s="15"/>
    </row>
    <row r="9" spans="2:12" x14ac:dyDescent="0.35">
      <c r="B9" s="7" t="s">
        <v>88</v>
      </c>
      <c r="C9" s="7" t="s">
        <v>93</v>
      </c>
      <c r="D9" s="14" t="s">
        <v>117</v>
      </c>
      <c r="F9" s="78" t="str" cm="1">
        <f t="array" aca="1" ref="F9" ca="1">HYPERLINK("#"&amp;INDEX(SheetName,ROW(A8))&amp;"!A1",INDEX(SheetName,ROW(A8)))</f>
        <v>Notice</v>
      </c>
      <c r="G9" s="8" t="s">
        <v>1402</v>
      </c>
      <c r="H9" s="8" t="s">
        <v>406</v>
      </c>
      <c r="I9" s="15">
        <v>0</v>
      </c>
      <c r="J9" s="15"/>
      <c r="K9" s="15"/>
      <c r="L9" s="15"/>
    </row>
    <row r="10" spans="2:12" x14ac:dyDescent="0.35">
      <c r="B10" s="7" t="s">
        <v>89</v>
      </c>
      <c r="C10" s="7" t="s">
        <v>94</v>
      </c>
      <c r="D10" s="14" t="s">
        <v>118</v>
      </c>
      <c r="F10" s="78" t="str" cm="1">
        <f t="array" aca="1" ref="F10" ca="1">HYPERLINK("#"&amp;INDEX(SheetName,ROW(A9))&amp;"!A1",INDEX(SheetName,ROW(A9)))</f>
        <v>Prompt</v>
      </c>
      <c r="G10" s="8" t="s">
        <v>1403</v>
      </c>
      <c r="H10" s="8" t="s">
        <v>407</v>
      </c>
      <c r="I10" s="15">
        <v>100</v>
      </c>
      <c r="J10" s="15"/>
      <c r="K10" s="15"/>
      <c r="L10" s="15"/>
    </row>
    <row r="11" spans="2:12" x14ac:dyDescent="0.35">
      <c r="B11" s="7" t="s">
        <v>90</v>
      </c>
      <c r="C11" s="7" t="s">
        <v>95</v>
      </c>
      <c r="D11" s="14" t="s">
        <v>119</v>
      </c>
      <c r="F11" s="78" t="str" cm="1">
        <f t="array" aca="1" ref="F11" ca="1">HYPERLINK("#"&amp;INDEX(SheetName,ROW(A10))&amp;"!A1",INDEX(SheetName,ROW(A10)))</f>
        <v>RoleNameRandom</v>
      </c>
      <c r="G11" s="8" t="s">
        <v>1404</v>
      </c>
      <c r="H11" s="8" t="s">
        <v>408</v>
      </c>
      <c r="I11" s="15">
        <v>100</v>
      </c>
      <c r="J11" s="15"/>
      <c r="K11" s="15"/>
      <c r="L11" s="15"/>
    </row>
    <row r="12" spans="2:12" x14ac:dyDescent="0.35">
      <c r="F12" s="78" t="str" cm="1">
        <f t="array" aca="1" ref="F12" ca="1">HYPERLINK("#"&amp;INDEX(SheetName,ROW(A11))&amp;"!A1",INDEX(SheetName,ROW(A11)))</f>
        <v>RoleInfo</v>
      </c>
      <c r="G12" s="8" t="s">
        <v>1405</v>
      </c>
      <c r="H12" s="8" t="s">
        <v>409</v>
      </c>
      <c r="I12" s="15">
        <v>100</v>
      </c>
      <c r="J12" s="15"/>
      <c r="K12" s="15"/>
      <c r="L12" s="15"/>
    </row>
    <row r="13" spans="2:12" x14ac:dyDescent="0.35">
      <c r="B13" s="7" t="s">
        <v>0</v>
      </c>
      <c r="C13" s="7" t="s">
        <v>1</v>
      </c>
      <c r="D13" s="7" t="s">
        <v>2</v>
      </c>
      <c r="F13" s="78" t="str" cm="1">
        <f t="array" aca="1" ref="F13" ca="1">HYPERLINK("#"&amp;INDEX(SheetName,ROW(A12))&amp;"!A1",INDEX(SheetName,ROW(A12)))</f>
        <v>RoleAvatar</v>
      </c>
      <c r="G13" s="8" t="s">
        <v>1406</v>
      </c>
      <c r="H13" s="8" t="s">
        <v>410</v>
      </c>
      <c r="I13" s="15">
        <v>100</v>
      </c>
      <c r="J13" s="15"/>
      <c r="K13" s="15"/>
      <c r="L13" s="15"/>
    </row>
    <row r="14" spans="2:12" x14ac:dyDescent="0.35">
      <c r="B14" s="7" t="s">
        <v>3</v>
      </c>
      <c r="C14" s="7" t="s">
        <v>4</v>
      </c>
      <c r="D14" s="7" t="s">
        <v>5</v>
      </c>
      <c r="F14" s="78" t="str" cm="1">
        <f t="array" aca="1" ref="F14" ca="1">HYPERLINK("#"&amp;INDEX(SheetName,ROW(A13))&amp;"!A1",INDEX(SheetName,ROW(A13)))</f>
        <v>RoleStatus</v>
      </c>
      <c r="G14" s="8" t="s">
        <v>1407</v>
      </c>
      <c r="H14" s="8" t="s">
        <v>411</v>
      </c>
      <c r="I14" s="15">
        <v>100</v>
      </c>
      <c r="J14" s="15"/>
      <c r="K14" s="15"/>
      <c r="L14" s="15"/>
    </row>
    <row r="15" spans="2:12" x14ac:dyDescent="0.35">
      <c r="B15" s="7" t="s">
        <v>6</v>
      </c>
      <c r="C15" s="7" t="s">
        <v>7</v>
      </c>
      <c r="D15" s="7" t="s">
        <v>8</v>
      </c>
      <c r="F15" s="78" t="str" cm="1">
        <f t="array" aca="1" ref="F15" ca="1">HYPERLINK("#"&amp;INDEX(SheetName,ROW(A14))&amp;"!A1",INDEX(SheetName,ROW(A14)))</f>
        <v>RoleProf</v>
      </c>
      <c r="G15" s="8" t="s">
        <v>1408</v>
      </c>
      <c r="H15" s="8" t="s">
        <v>412</v>
      </c>
      <c r="I15" s="15">
        <v>100</v>
      </c>
      <c r="J15" s="15"/>
      <c r="K15" s="15"/>
      <c r="L15" s="15"/>
    </row>
    <row r="16" spans="2:12" x14ac:dyDescent="0.35">
      <c r="B16" s="7" t="s">
        <v>9</v>
      </c>
      <c r="C16" s="7" t="s">
        <v>10</v>
      </c>
      <c r="D16" s="7" t="s">
        <v>11</v>
      </c>
      <c r="F16" s="78" t="str" cm="1">
        <f t="array" aca="1" ref="F16" ca="1">HYPERLINK("#"&amp;INDEX(SheetName,ROW(A15))&amp;"!A1",INDEX(SheetName,ROW(A15)))</f>
        <v>RoleJob</v>
      </c>
      <c r="G16" s="8" t="s">
        <v>1409</v>
      </c>
      <c r="H16" s="8" t="s">
        <v>413</v>
      </c>
      <c r="I16" s="15">
        <v>100</v>
      </c>
      <c r="J16" s="15"/>
      <c r="K16" s="15"/>
      <c r="L16" s="15"/>
    </row>
    <row r="17" spans="2:12" x14ac:dyDescent="0.35">
      <c r="B17" s="7" t="s">
        <v>12</v>
      </c>
      <c r="C17" s="7" t="s">
        <v>13</v>
      </c>
      <c r="D17" s="7" t="s">
        <v>14</v>
      </c>
      <c r="F17" s="78" t="str" cm="1">
        <f t="array" aca="1" ref="F17" ca="1">HYPERLINK("#"&amp;INDEX(SheetName,ROW(A16))&amp;"!A1",INDEX(SheetName,ROW(A16)))</f>
        <v>RoleAction</v>
      </c>
      <c r="G17" s="8" t="s">
        <v>1410</v>
      </c>
      <c r="H17" s="8" t="s">
        <v>414</v>
      </c>
      <c r="I17" s="15">
        <v>100</v>
      </c>
      <c r="J17" s="15"/>
      <c r="K17" s="15"/>
      <c r="L17" s="15"/>
    </row>
    <row r="18" spans="2:12" x14ac:dyDescent="0.35">
      <c r="F18" s="78" t="str" cm="1">
        <f t="array" aca="1" ref="F18" ca="1">HYPERLINK("#"&amp;INDEX(SheetName,ROW(A17))&amp;"!A1",INDEX(SheetName,ROW(A17)))</f>
        <v>RoleHappiness</v>
      </c>
      <c r="G18" s="8" t="s">
        <v>1538</v>
      </c>
      <c r="H18" s="8" t="s">
        <v>1537</v>
      </c>
      <c r="I18" s="15">
        <v>100</v>
      </c>
      <c r="J18" s="15"/>
      <c r="K18" s="15"/>
      <c r="L18" s="15"/>
    </row>
    <row r="19" spans="2:12" x14ac:dyDescent="0.35">
      <c r="B19" s="7" t="s">
        <v>15</v>
      </c>
      <c r="C19" s="7" t="s">
        <v>16</v>
      </c>
      <c r="D19" s="7" t="s">
        <v>17</v>
      </c>
      <c r="F19" s="78" t="str" cm="1">
        <f t="array" aca="1" ref="F19" ca="1">HYPERLINK("#"&amp;INDEX(SheetName,ROW(A18))&amp;"!A1",INDEX(SheetName,ROW(A18)))</f>
        <v>RoleLevel</v>
      </c>
      <c r="G19" s="8" t="s">
        <v>1411</v>
      </c>
      <c r="H19" s="8" t="s">
        <v>415</v>
      </c>
      <c r="I19" s="15">
        <v>100</v>
      </c>
      <c r="J19" s="15"/>
      <c r="K19" s="15"/>
      <c r="L19" s="15"/>
    </row>
    <row r="20" spans="2:12" x14ac:dyDescent="0.35">
      <c r="B20" s="7" t="s">
        <v>18</v>
      </c>
      <c r="C20" s="7" t="s">
        <v>19</v>
      </c>
      <c r="D20" s="7" t="s">
        <v>20</v>
      </c>
      <c r="F20" s="79" t="str" cm="1">
        <f t="array" aca="1" ref="F20" ca="1">HYPERLINK("#"&amp;INDEX(SheetName,ROW(A19))&amp;"!A1",INDEX(SheetName,ROW(A19)))</f>
        <v>Tag</v>
      </c>
      <c r="G20" s="80" t="s">
        <v>1412</v>
      </c>
      <c r="H20" s="80" t="s">
        <v>416</v>
      </c>
      <c r="I20" s="81">
        <v>100</v>
      </c>
      <c r="J20" s="81"/>
      <c r="K20" s="81"/>
      <c r="L20" s="81"/>
    </row>
    <row r="21" spans="2:12" x14ac:dyDescent="0.35">
      <c r="B21" s="7" t="s">
        <v>21</v>
      </c>
      <c r="C21" s="7" t="s">
        <v>22</v>
      </c>
      <c r="D21" s="7" t="s">
        <v>23</v>
      </c>
      <c r="F21" s="78" t="str" cm="1">
        <f t="array" aca="1" ref="F21" ca="1">HYPERLINK("#"&amp;INDEX(SheetName,ROW(A20))&amp;"!A1",INDEX(SheetName,ROW(A20)))</f>
        <v>Skill</v>
      </c>
      <c r="G21" s="8" t="s">
        <v>1413</v>
      </c>
      <c r="H21" s="8" t="s">
        <v>417</v>
      </c>
      <c r="I21" s="15">
        <v>0</v>
      </c>
      <c r="J21" s="15"/>
      <c r="K21" s="15"/>
      <c r="L21" s="15"/>
    </row>
    <row r="22" spans="2:12" x14ac:dyDescent="0.35">
      <c r="B22" s="7" t="s">
        <v>24</v>
      </c>
      <c r="C22" s="7" t="s">
        <v>25</v>
      </c>
      <c r="D22" s="7" t="s">
        <v>26</v>
      </c>
      <c r="F22" s="78" t="str" cm="1">
        <f t="array" aca="1" ref="F22" ca="1">HYPERLINK("#"&amp;INDEX(SheetName,ROW(A21))&amp;"!A1",INDEX(SheetName,ROW(A21)))</f>
        <v>Buff</v>
      </c>
      <c r="G22" s="8" t="s">
        <v>1414</v>
      </c>
      <c r="H22" s="8" t="s">
        <v>418</v>
      </c>
      <c r="I22" s="15">
        <v>100</v>
      </c>
      <c r="J22" s="15"/>
      <c r="K22" s="15"/>
      <c r="L22" s="15"/>
    </row>
    <row r="23" spans="2:12" x14ac:dyDescent="0.35">
      <c r="F23" s="78" t="str" cm="1">
        <f t="array" aca="1" ref="F23" ca="1">HYPERLINK("#"&amp;INDEX(SheetName,ROW(A22))&amp;"!A1",INDEX(SheetName,ROW(A22)))</f>
        <v>BuffEffect</v>
      </c>
      <c r="G23" s="8" t="s">
        <v>1415</v>
      </c>
      <c r="H23" s="8" t="s">
        <v>419</v>
      </c>
      <c r="I23" s="15">
        <v>100</v>
      </c>
      <c r="J23" s="15"/>
      <c r="K23" s="15"/>
      <c r="L23" s="15"/>
    </row>
    <row r="24" spans="2:12" x14ac:dyDescent="0.35">
      <c r="B24" s="7" t="s">
        <v>27</v>
      </c>
      <c r="C24" s="7" t="s">
        <v>28</v>
      </c>
      <c r="D24" s="7" t="s">
        <v>29</v>
      </c>
      <c r="F24" s="78" t="str" cm="1">
        <f t="array" aca="1" ref="F24" ca="1">HYPERLINK("#"&amp;INDEX(SheetName,ROW(A23))&amp;"!A1",INDEX(SheetName,ROW(A23)))</f>
        <v>Item</v>
      </c>
      <c r="G24" s="8" t="s">
        <v>1833</v>
      </c>
      <c r="H24" s="8" t="s">
        <v>420</v>
      </c>
      <c r="I24" s="15">
        <v>100</v>
      </c>
      <c r="J24" s="15"/>
      <c r="K24" s="15"/>
      <c r="L24" s="15"/>
    </row>
    <row r="25" spans="2:12" x14ac:dyDescent="0.35">
      <c r="B25" s="7" t="s">
        <v>30</v>
      </c>
      <c r="C25" s="7" t="s">
        <v>31</v>
      </c>
      <c r="D25" s="7" t="s">
        <v>32</v>
      </c>
      <c r="F25" s="78" t="str" cm="1">
        <f t="array" aca="1" ref="F25" ca="1">HYPERLINK("#"&amp;INDEX(SheetName,ROW(A24))&amp;"!A1",INDEX(SheetName,ROW(A24)))</f>
        <v>Drop</v>
      </c>
      <c r="G25" s="8" t="s">
        <v>1834</v>
      </c>
      <c r="H25" s="8" t="s">
        <v>421</v>
      </c>
      <c r="I25" s="15">
        <v>100</v>
      </c>
      <c r="J25" s="15"/>
      <c r="K25" s="15"/>
      <c r="L25" s="15"/>
    </row>
    <row r="26" spans="2:12" x14ac:dyDescent="0.35">
      <c r="B26" s="7" t="s">
        <v>33</v>
      </c>
      <c r="C26" s="7" t="s">
        <v>34</v>
      </c>
      <c r="D26" s="7" t="s">
        <v>35</v>
      </c>
      <c r="F26" s="78" t="str" cm="1">
        <f t="array" aca="1" ref="F26" ca="1">HYPERLINK("#"&amp;INDEX(SheetName,ROW(A25))&amp;"!A1",INDEX(SheetName,ROW(A25)))</f>
        <v>Formula</v>
      </c>
      <c r="G26" s="8" t="s">
        <v>1835</v>
      </c>
      <c r="H26" s="8" t="s">
        <v>1832</v>
      </c>
      <c r="I26" s="15">
        <v>100</v>
      </c>
      <c r="J26" s="15"/>
      <c r="K26" s="15"/>
      <c r="L26" s="15"/>
    </row>
    <row r="27" spans="2:12" x14ac:dyDescent="0.35">
      <c r="F27" s="78" t="str" cm="1">
        <f t="array" aca="1" ref="F27" ca="1">HYPERLINK("#"&amp;INDEX(SheetName,ROW(A26))&amp;"!A1",INDEX(SheetName,ROW(A26)))</f>
        <v>ScenePart</v>
      </c>
      <c r="G27" s="8" t="s">
        <v>2339</v>
      </c>
      <c r="H27" s="8" t="s">
        <v>2338</v>
      </c>
      <c r="I27" s="15">
        <v>100</v>
      </c>
      <c r="J27" s="15"/>
      <c r="K27" s="15"/>
      <c r="L27" s="15"/>
    </row>
    <row r="28" spans="2:12" x14ac:dyDescent="0.35">
      <c r="B28" s="7" t="s">
        <v>4</v>
      </c>
      <c r="C28" s="7" t="s">
        <v>36</v>
      </c>
      <c r="D28" s="7" t="s">
        <v>37</v>
      </c>
      <c r="F28" s="78" t="str" cm="1">
        <f t="array" aca="1" ref="F28" ca="1">HYPERLINK("#"&amp;INDEX(SheetName,ROW(A27))&amp;"!A1",INDEX(SheetName,ROW(A27)))</f>
        <v>House</v>
      </c>
      <c r="G28" s="8" t="s">
        <v>1648</v>
      </c>
      <c r="H28" s="8" t="s">
        <v>1647</v>
      </c>
      <c r="I28" s="15">
        <v>100</v>
      </c>
      <c r="J28" s="15"/>
      <c r="K28" s="15"/>
      <c r="L28" s="15"/>
    </row>
    <row r="29" spans="2:12" x14ac:dyDescent="0.35">
      <c r="B29" s="7" t="s">
        <v>38</v>
      </c>
      <c r="C29" s="7" t="s">
        <v>39</v>
      </c>
      <c r="D29" s="7">
        <v>123456</v>
      </c>
      <c r="F29" s="78" t="str" cm="1">
        <f t="array" aca="1" ref="F29" ca="1">HYPERLINK("#"&amp;INDEX(SheetName,ROW(A28))&amp;"!A1",INDEX(SheetName,ROW(A28)))</f>
        <v>Chapter</v>
      </c>
      <c r="G29" s="8" t="s">
        <v>2808</v>
      </c>
      <c r="H29" s="8" t="s">
        <v>2805</v>
      </c>
      <c r="I29" s="15">
        <v>100</v>
      </c>
      <c r="J29" s="15"/>
      <c r="K29" s="15"/>
      <c r="L29" s="15"/>
    </row>
    <row r="30" spans="2:12" x14ac:dyDescent="0.35">
      <c r="B30" s="7" t="s">
        <v>40</v>
      </c>
      <c r="C30" s="7" t="s">
        <v>41</v>
      </c>
      <c r="D30" s="7" t="s">
        <v>42</v>
      </c>
      <c r="F30" s="78" t="str" cm="1">
        <f t="array" aca="1" ref="F30" ca="1">HYPERLINK("#"&amp;INDEX(SheetName,ROW(A29))&amp;"!A1",INDEX(SheetName,ROW(A29)))</f>
        <v>Task</v>
      </c>
      <c r="G30" s="8" t="s">
        <v>2809</v>
      </c>
      <c r="H30" s="8" t="s">
        <v>2806</v>
      </c>
      <c r="I30" s="15">
        <v>100</v>
      </c>
      <c r="J30" s="15"/>
      <c r="K30" s="15"/>
      <c r="L30" s="15"/>
    </row>
    <row r="31" spans="2:12" x14ac:dyDescent="0.35">
      <c r="B31" s="7" t="s">
        <v>43</v>
      </c>
      <c r="C31" s="7" t="s">
        <v>44</v>
      </c>
      <c r="D31" s="7" t="s">
        <v>45</v>
      </c>
      <c r="F31" s="78" t="str" cm="1">
        <f t="array" aca="1" ref="F31" ca="1">HYPERLINK("#"&amp;INDEX(SheetName,ROW(A30))&amp;"!A1",INDEX(SheetName,ROW(A30)))</f>
        <v>GameEvent</v>
      </c>
      <c r="G31" s="8" t="s">
        <v>2810</v>
      </c>
      <c r="H31" s="8" t="s">
        <v>2807</v>
      </c>
      <c r="I31" s="15">
        <v>100</v>
      </c>
      <c r="J31" s="15"/>
      <c r="K31" s="15"/>
      <c r="L31" s="15"/>
    </row>
    <row r="32" spans="2:12" x14ac:dyDescent="0.35">
      <c r="B32" s="7" t="s">
        <v>46</v>
      </c>
      <c r="C32" s="7" t="s">
        <v>47</v>
      </c>
      <c r="D32" s="7" t="s">
        <v>48</v>
      </c>
      <c r="F32" s="78" t="str" cm="1">
        <f t="array" aca="1" ref="F32" ca="1">HYPERLINK("#"&amp;INDEX(SheetName,ROW(A31))&amp;"!A1",INDEX(SheetName,ROW(A31)))</f>
        <v>Story</v>
      </c>
      <c r="G32" s="8" t="s">
        <v>3607</v>
      </c>
      <c r="H32" s="8" t="s">
        <v>3605</v>
      </c>
      <c r="I32" s="15">
        <v>100</v>
      </c>
      <c r="J32" s="15"/>
      <c r="K32" s="15"/>
      <c r="L32" s="15"/>
    </row>
    <row r="33" spans="2:12" x14ac:dyDescent="0.35">
      <c r="B33" s="7" t="s">
        <v>49</v>
      </c>
      <c r="C33" s="7" t="s">
        <v>50</v>
      </c>
      <c r="D33" s="7" t="s">
        <v>51</v>
      </c>
      <c r="F33" s="78" t="str" cm="1">
        <f t="array" aca="1" ref="F33" ca="1">HYPERLINK("#"&amp;INDEX(SheetName,ROW(A32))&amp;"!A1",INDEX(SheetName,ROW(A32)))</f>
        <v>DialogTxt</v>
      </c>
      <c r="G33" s="8" t="s">
        <v>3608</v>
      </c>
      <c r="H33" s="8" t="s">
        <v>3606</v>
      </c>
      <c r="I33" s="15">
        <v>100</v>
      </c>
      <c r="J33" s="15"/>
      <c r="K33" s="15"/>
      <c r="L33" s="15"/>
    </row>
    <row r="34" spans="2:12" x14ac:dyDescent="0.35">
      <c r="B34" s="7" t="s">
        <v>52</v>
      </c>
      <c r="C34" s="7" t="s">
        <v>53</v>
      </c>
      <c r="D34" s="7" t="s">
        <v>54</v>
      </c>
      <c r="F34" s="8"/>
      <c r="G34" s="8"/>
      <c r="H34" s="8"/>
      <c r="I34" s="15"/>
      <c r="J34" s="15"/>
      <c r="K34" s="15"/>
      <c r="L34" s="15"/>
    </row>
    <row r="35" spans="2:12" x14ac:dyDescent="0.35">
      <c r="B35" s="7" t="s">
        <v>55</v>
      </c>
      <c r="C35" s="7" t="s">
        <v>56</v>
      </c>
      <c r="D35" s="7" t="s">
        <v>57</v>
      </c>
      <c r="F35" s="8"/>
      <c r="G35" s="8"/>
      <c r="H35" s="8"/>
      <c r="I35" s="15"/>
      <c r="J35" s="15"/>
      <c r="K35" s="15"/>
      <c r="L35" s="15"/>
    </row>
    <row r="36" spans="2:12" x14ac:dyDescent="0.35">
      <c r="B36" s="7" t="s">
        <v>58</v>
      </c>
      <c r="C36" s="7" t="s">
        <v>59</v>
      </c>
      <c r="D36" s="7" t="s">
        <v>60</v>
      </c>
      <c r="F36" s="8"/>
      <c r="G36" s="8"/>
      <c r="H36" s="8"/>
      <c r="I36" s="15"/>
      <c r="J36" s="15"/>
      <c r="K36" s="15"/>
      <c r="L36" s="15"/>
    </row>
    <row r="37" spans="2:12" x14ac:dyDescent="0.35">
      <c r="B37" s="7" t="s">
        <v>61</v>
      </c>
      <c r="C37" s="7" t="s">
        <v>62</v>
      </c>
      <c r="D37" s="7" t="s">
        <v>63</v>
      </c>
      <c r="F37" s="8"/>
      <c r="G37" s="8"/>
      <c r="H37" s="8"/>
      <c r="I37" s="15"/>
      <c r="J37" s="15"/>
      <c r="K37" s="15"/>
      <c r="L37" s="15"/>
    </row>
    <row r="38" spans="2:12" x14ac:dyDescent="0.35">
      <c r="B38" s="7" t="s">
        <v>64</v>
      </c>
      <c r="C38" s="7" t="s">
        <v>65</v>
      </c>
      <c r="D38" s="7" t="s">
        <v>66</v>
      </c>
      <c r="F38" s="8"/>
      <c r="G38" s="8"/>
      <c r="H38" s="8"/>
      <c r="I38" s="15"/>
      <c r="J38" s="15"/>
      <c r="K38" s="15"/>
      <c r="L38" s="15"/>
    </row>
    <row r="39" spans="2:12" x14ac:dyDescent="0.35">
      <c r="B39" s="13" t="s">
        <v>67</v>
      </c>
      <c r="C39" s="13" t="s">
        <v>68</v>
      </c>
      <c r="D39" s="13" t="s">
        <v>69</v>
      </c>
      <c r="F39" s="8"/>
      <c r="G39" s="8"/>
      <c r="H39" s="8"/>
      <c r="I39" s="15"/>
      <c r="J39" s="15"/>
      <c r="K39" s="15"/>
      <c r="L39" s="15"/>
    </row>
    <row r="40" spans="2:12" x14ac:dyDescent="0.35">
      <c r="B40" s="7" t="s">
        <v>70</v>
      </c>
      <c r="C40" s="7" t="s">
        <v>71</v>
      </c>
      <c r="D40" s="7" t="s">
        <v>135</v>
      </c>
      <c r="F40" s="8"/>
      <c r="G40" s="8"/>
      <c r="H40" s="8"/>
      <c r="I40" s="15"/>
      <c r="J40" s="15"/>
      <c r="K40" s="15"/>
      <c r="L40" s="15"/>
    </row>
    <row r="41" spans="2:12" x14ac:dyDescent="0.35">
      <c r="B41" s="13" t="s">
        <v>72</v>
      </c>
      <c r="C41" s="13" t="s">
        <v>73</v>
      </c>
      <c r="D41" s="13" t="s">
        <v>136</v>
      </c>
      <c r="F41" s="8"/>
      <c r="G41" s="8"/>
      <c r="H41" s="8"/>
      <c r="I41" s="15"/>
      <c r="J41" s="15"/>
      <c r="K41" s="15"/>
      <c r="L41" s="15"/>
    </row>
    <row r="42" spans="2:12" x14ac:dyDescent="0.35">
      <c r="B42" s="7" t="s">
        <v>74</v>
      </c>
      <c r="C42" s="7" t="s">
        <v>137</v>
      </c>
      <c r="D42" s="7" t="s">
        <v>75</v>
      </c>
      <c r="F42" s="8"/>
      <c r="G42" s="8"/>
      <c r="H42" s="8"/>
      <c r="I42" s="15"/>
      <c r="J42" s="15"/>
      <c r="K42" s="15"/>
      <c r="L42" s="15"/>
    </row>
  </sheetData>
  <mergeCells count="2">
    <mergeCell ref="F2:H2"/>
    <mergeCell ref="D2:D3"/>
  </mergeCells>
  <phoneticPr fontId="3" type="noConversion"/>
  <dataValidations count="1">
    <dataValidation type="list" allowBlank="1" showInputMessage="1" showErrorMessage="1" sqref="B3" xr:uid="{3980B0DD-07E9-4C03-B871-AFEA34F58E29}">
      <formula1>$I$3:$Q$3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fg.OutputCfg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D52F002-F833-4BE2-9905-2D760C2CFB1D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I4:L42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17C00-5166-4DBA-9C3E-F199131DC25F}">
  <sheetPr codeName="Sheet2"/>
  <dimension ref="A1:J20"/>
  <sheetViews>
    <sheetView workbookViewId="0">
      <selection activeCell="E36" sqref="E36"/>
    </sheetView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9" width="15.625" style="10" customWidth="1"/>
    <col min="10" max="10" width="50.625" style="10" customWidth="1"/>
    <col min="11" max="16384" width="10.625" style="10"/>
  </cols>
  <sheetData>
    <row r="1" spans="1:10" x14ac:dyDescent="0.35">
      <c r="A1" s="11" t="s">
        <v>3</v>
      </c>
      <c r="B1" s="4" t="s">
        <v>74</v>
      </c>
      <c r="C1" s="5" t="s">
        <v>38</v>
      </c>
      <c r="D1" s="5" t="s">
        <v>98</v>
      </c>
      <c r="E1" s="5" t="s">
        <v>98</v>
      </c>
      <c r="F1" s="5" t="s">
        <v>98</v>
      </c>
      <c r="G1" s="5" t="s">
        <v>101</v>
      </c>
      <c r="H1" s="5" t="s">
        <v>40</v>
      </c>
      <c r="I1" s="5" t="s">
        <v>98</v>
      </c>
      <c r="J1" s="6" t="s">
        <v>74</v>
      </c>
    </row>
    <row r="2" spans="1:10" x14ac:dyDescent="0.35">
      <c r="A2" s="12" t="s">
        <v>6</v>
      </c>
      <c r="B2" s="1" t="s">
        <v>30</v>
      </c>
      <c r="C2" s="2" t="s">
        <v>33</v>
      </c>
      <c r="D2" s="2" t="s">
        <v>97</v>
      </c>
      <c r="E2" s="2" t="s">
        <v>76</v>
      </c>
      <c r="F2" s="2" t="s">
        <v>102</v>
      </c>
      <c r="G2" s="2" t="s">
        <v>100</v>
      </c>
      <c r="H2" s="2" t="s">
        <v>77</v>
      </c>
      <c r="I2" s="2" t="s">
        <v>77</v>
      </c>
      <c r="J2" s="3" t="s">
        <v>74</v>
      </c>
    </row>
    <row r="3" spans="1:10" x14ac:dyDescent="0.35">
      <c r="A3" s="24" t="s">
        <v>9</v>
      </c>
      <c r="B3" s="25" t="s">
        <v>31</v>
      </c>
      <c r="C3" s="26" t="s">
        <v>34</v>
      </c>
      <c r="D3" s="26" t="s">
        <v>99</v>
      </c>
      <c r="E3" s="26" t="s">
        <v>120</v>
      </c>
      <c r="F3" s="26" t="s">
        <v>103</v>
      </c>
      <c r="G3" s="26" t="s">
        <v>121</v>
      </c>
      <c r="H3" s="26" t="s">
        <v>78</v>
      </c>
      <c r="I3" s="26" t="s">
        <v>79</v>
      </c>
      <c r="J3" s="25" t="s">
        <v>80</v>
      </c>
    </row>
    <row r="4" spans="1:10" x14ac:dyDescent="0.35">
      <c r="A4" s="27" t="s">
        <v>104</v>
      </c>
      <c r="B4" s="27"/>
      <c r="C4" s="27" t="s">
        <v>122</v>
      </c>
      <c r="D4" s="27" t="s">
        <v>123</v>
      </c>
      <c r="E4" s="27" t="s">
        <v>124</v>
      </c>
      <c r="F4" s="27" t="s">
        <v>125</v>
      </c>
      <c r="G4" s="27" t="s">
        <v>126</v>
      </c>
      <c r="H4" s="27" t="s">
        <v>127</v>
      </c>
      <c r="I4" s="27" t="s">
        <v>127</v>
      </c>
      <c r="J4" s="27" t="s">
        <v>128</v>
      </c>
    </row>
    <row r="5" spans="1:10" x14ac:dyDescent="0.35">
      <c r="A5" s="28"/>
      <c r="B5" s="26">
        <v>100</v>
      </c>
      <c r="C5" s="26"/>
      <c r="D5" s="26"/>
      <c r="E5" s="26"/>
      <c r="F5" s="29"/>
      <c r="G5" s="29"/>
      <c r="H5" s="26"/>
      <c r="I5" s="26"/>
      <c r="J5" s="28" t="s">
        <v>129</v>
      </c>
    </row>
    <row r="6" spans="1:10" x14ac:dyDescent="0.35">
      <c r="A6" s="28"/>
      <c r="B6" s="26">
        <v>200</v>
      </c>
      <c r="C6" s="26"/>
      <c r="D6" s="26"/>
      <c r="E6" s="26"/>
      <c r="F6" s="29"/>
      <c r="G6" s="29"/>
      <c r="H6" s="26"/>
      <c r="I6" s="26"/>
      <c r="J6" s="28" t="s">
        <v>130</v>
      </c>
    </row>
    <row r="7" spans="1:10" x14ac:dyDescent="0.35">
      <c r="A7" s="28"/>
      <c r="B7" s="26">
        <v>300</v>
      </c>
      <c r="C7" s="26"/>
      <c r="D7" s="26"/>
      <c r="E7" s="26"/>
      <c r="F7" s="29"/>
      <c r="G7" s="29"/>
      <c r="H7" s="26"/>
      <c r="I7" s="26"/>
      <c r="J7" s="28" t="s">
        <v>131</v>
      </c>
    </row>
    <row r="8" spans="1:10" x14ac:dyDescent="0.35">
      <c r="A8" s="28"/>
      <c r="B8" s="26"/>
      <c r="C8" s="26"/>
      <c r="D8" s="26"/>
      <c r="E8" s="26"/>
      <c r="F8" s="29"/>
      <c r="G8" s="29"/>
      <c r="H8" s="26"/>
      <c r="I8" s="26"/>
      <c r="J8" s="28"/>
    </row>
    <row r="9" spans="1:10" x14ac:dyDescent="0.35">
      <c r="A9" s="28"/>
      <c r="B9" s="26"/>
      <c r="C9" s="26"/>
      <c r="D9" s="26"/>
      <c r="E9" s="26"/>
      <c r="F9" s="29"/>
      <c r="G9" s="29"/>
      <c r="H9" s="26"/>
      <c r="I9" s="26"/>
      <c r="J9" s="28"/>
    </row>
    <row r="10" spans="1:10" x14ac:dyDescent="0.35">
      <c r="A10" s="28"/>
      <c r="B10" s="26"/>
      <c r="C10" s="26"/>
      <c r="D10" s="26"/>
      <c r="E10" s="26"/>
      <c r="F10" s="29"/>
      <c r="G10" s="29"/>
      <c r="H10" s="26"/>
      <c r="I10" s="26"/>
      <c r="J10" s="28"/>
    </row>
    <row r="11" spans="1:10" x14ac:dyDescent="0.35">
      <c r="A11" s="8"/>
      <c r="B11" s="7"/>
      <c r="C11" s="7"/>
      <c r="D11" s="7"/>
      <c r="E11" s="7"/>
      <c r="F11" s="7"/>
      <c r="G11" s="9"/>
      <c r="H11" s="7"/>
      <c r="I11" s="7"/>
      <c r="J11" s="8"/>
    </row>
    <row r="12" spans="1:10" x14ac:dyDescent="0.35">
      <c r="A12" s="8"/>
      <c r="B12" s="7"/>
      <c r="C12" s="7"/>
      <c r="D12" s="7"/>
      <c r="E12" s="7"/>
      <c r="F12" s="7"/>
      <c r="G12" s="9"/>
      <c r="H12" s="7"/>
      <c r="I12" s="7"/>
      <c r="J12" s="8"/>
    </row>
    <row r="13" spans="1:10" x14ac:dyDescent="0.35">
      <c r="A13" s="8"/>
      <c r="B13" s="7"/>
      <c r="C13" s="7"/>
      <c r="D13" s="7"/>
      <c r="E13" s="7"/>
      <c r="F13" s="7"/>
      <c r="G13" s="9"/>
      <c r="H13" s="7"/>
      <c r="I13" s="7"/>
      <c r="J13" s="8"/>
    </row>
    <row r="14" spans="1:10" x14ac:dyDescent="0.35">
      <c r="A14" s="8"/>
      <c r="B14" s="7"/>
      <c r="C14" s="7"/>
      <c r="D14" s="7"/>
      <c r="E14" s="7"/>
      <c r="F14" s="7"/>
      <c r="G14" s="9"/>
      <c r="H14" s="7"/>
      <c r="I14" s="7"/>
      <c r="J14" s="8"/>
    </row>
    <row r="15" spans="1:10" x14ac:dyDescent="0.35">
      <c r="A15" s="8"/>
      <c r="B15" s="7"/>
      <c r="C15" s="7"/>
      <c r="D15" s="7"/>
      <c r="E15" s="7"/>
      <c r="F15" s="7"/>
      <c r="G15" s="9"/>
      <c r="H15" s="7"/>
      <c r="I15" s="7"/>
      <c r="J15" s="8"/>
    </row>
    <row r="16" spans="1:10" x14ac:dyDescent="0.35">
      <c r="A16" s="8"/>
      <c r="B16" s="7"/>
      <c r="C16" s="7"/>
      <c r="D16" s="7"/>
      <c r="E16" s="7"/>
      <c r="F16" s="7"/>
      <c r="G16" s="9"/>
      <c r="H16" s="7"/>
      <c r="I16" s="7"/>
      <c r="J16" s="8"/>
    </row>
    <row r="17" spans="1:10" x14ac:dyDescent="0.35">
      <c r="A17" s="8"/>
      <c r="B17" s="7"/>
      <c r="C17" s="7"/>
      <c r="D17" s="7"/>
      <c r="E17" s="7"/>
      <c r="F17" s="7"/>
      <c r="G17" s="9"/>
      <c r="H17" s="7"/>
      <c r="I17" s="7"/>
      <c r="J17" s="8"/>
    </row>
    <row r="18" spans="1:10" x14ac:dyDescent="0.35">
      <c r="A18" s="8"/>
      <c r="B18" s="7"/>
      <c r="C18" s="7"/>
      <c r="D18" s="7"/>
      <c r="E18" s="7"/>
      <c r="F18" s="7"/>
      <c r="G18" s="9"/>
      <c r="H18" s="7"/>
      <c r="I18" s="7"/>
      <c r="J18" s="8"/>
    </row>
    <row r="19" spans="1:10" x14ac:dyDescent="0.35">
      <c r="A19" s="8"/>
      <c r="B19" s="7"/>
      <c r="C19" s="7"/>
      <c r="D19" s="7"/>
      <c r="E19" s="7"/>
      <c r="F19" s="7"/>
      <c r="G19" s="9"/>
      <c r="H19" s="7"/>
      <c r="I19" s="7"/>
      <c r="J19" s="8"/>
    </row>
    <row r="20" spans="1:10" x14ac:dyDescent="0.35">
      <c r="A20" s="8"/>
      <c r="B20" s="7"/>
      <c r="C20" s="7"/>
      <c r="D20" s="7"/>
      <c r="E20" s="7"/>
      <c r="F20" s="7"/>
      <c r="G20" s="9"/>
      <c r="H20" s="7"/>
      <c r="I20" s="7"/>
      <c r="J20" s="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2B60-F6A3-4492-B514-189FA68C12CC}">
  <sheetPr codeName="Sheet3">
    <tabColor rgb="FFC00000"/>
  </sheetPr>
  <dimension ref="A1:H10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3" width="15.625" style="10" customWidth="1"/>
    <col min="4" max="6" width="30.625" style="10" customWidth="1"/>
    <col min="7" max="7" width="50.625" style="10" customWidth="1"/>
    <col min="8" max="16384" width="10.625" style="10"/>
  </cols>
  <sheetData>
    <row r="1" spans="1:7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40</v>
      </c>
      <c r="F1" s="5" t="s">
        <v>70</v>
      </c>
      <c r="G1" s="6" t="s">
        <v>74</v>
      </c>
    </row>
    <row r="2" spans="1:7" x14ac:dyDescent="0.35">
      <c r="A2" s="12" t="s">
        <v>6</v>
      </c>
      <c r="B2" s="1" t="s">
        <v>30</v>
      </c>
      <c r="C2" s="2" t="s">
        <v>33</v>
      </c>
      <c r="D2" s="2" t="s">
        <v>138</v>
      </c>
      <c r="E2" s="2" t="s">
        <v>139</v>
      </c>
      <c r="F2" s="2" t="s">
        <v>140</v>
      </c>
      <c r="G2" s="3" t="s">
        <v>74</v>
      </c>
    </row>
    <row r="3" spans="1:7" x14ac:dyDescent="0.35">
      <c r="A3" s="24" t="s">
        <v>9</v>
      </c>
      <c r="B3" s="25" t="s">
        <v>31</v>
      </c>
      <c r="C3" s="26" t="s">
        <v>141</v>
      </c>
      <c r="D3" s="26" t="s">
        <v>142</v>
      </c>
      <c r="E3" s="26" t="s">
        <v>143</v>
      </c>
      <c r="F3" s="26" t="s">
        <v>4</v>
      </c>
      <c r="G3" s="25" t="s">
        <v>80</v>
      </c>
    </row>
    <row r="4" spans="1:7" x14ac:dyDescent="0.35">
      <c r="A4" s="27" t="s">
        <v>104</v>
      </c>
      <c r="B4" s="27"/>
      <c r="C4" s="27" t="s">
        <v>144</v>
      </c>
      <c r="D4" s="30" t="s">
        <v>145</v>
      </c>
      <c r="E4" s="30" t="s">
        <v>143</v>
      </c>
      <c r="F4" s="30" t="s">
        <v>146</v>
      </c>
      <c r="G4" s="27" t="s">
        <v>128</v>
      </c>
    </row>
    <row r="5" spans="1:7" x14ac:dyDescent="0.35">
      <c r="A5" s="8"/>
      <c r="B5" s="26">
        <v>100</v>
      </c>
      <c r="C5" s="26">
        <f>IF(表5_7[[#This Row],[常量键]]="","",90100000+ROW()-4)</f>
        <v>90100001</v>
      </c>
      <c r="D5" s="34" t="s">
        <v>1416</v>
      </c>
      <c r="E5" s="34" t="s">
        <v>1418</v>
      </c>
      <c r="F5" s="34" t="s">
        <v>1417</v>
      </c>
      <c r="G5" s="9" t="s">
        <v>1419</v>
      </c>
    </row>
    <row r="6" spans="1:7" x14ac:dyDescent="0.35">
      <c r="A6" s="8"/>
      <c r="B6" s="26">
        <v>100</v>
      </c>
      <c r="C6" s="26">
        <f>IF(表5_7[[#This Row],[常量键]]="","",90100000+ROW()-4)</f>
        <v>90100002</v>
      </c>
      <c r="D6" s="34" t="s">
        <v>2934</v>
      </c>
      <c r="E6" s="34" t="s">
        <v>2935</v>
      </c>
      <c r="F6" s="34" t="s">
        <v>2936</v>
      </c>
      <c r="G6" s="9" t="s">
        <v>2937</v>
      </c>
    </row>
    <row r="7" spans="1:7" x14ac:dyDescent="0.35">
      <c r="A7" s="8"/>
      <c r="B7" s="26">
        <v>100</v>
      </c>
      <c r="C7" s="26">
        <f>IF(表5_7[[#This Row],[常量键]]="","",90100000+ROW()-4)</f>
        <v>90100003</v>
      </c>
      <c r="D7" s="34" t="s">
        <v>2769</v>
      </c>
      <c r="E7" s="34" t="s">
        <v>2775</v>
      </c>
      <c r="F7" s="34" t="s">
        <v>2768</v>
      </c>
      <c r="G7" s="9" t="s">
        <v>2771</v>
      </c>
    </row>
    <row r="8" spans="1:7" x14ac:dyDescent="0.35">
      <c r="A8" s="8"/>
      <c r="B8" s="26">
        <v>100</v>
      </c>
      <c r="C8" s="26">
        <f>IF(表5_7[[#This Row],[常量键]]="","",90100000+ROW()-4)</f>
        <v>90100004</v>
      </c>
      <c r="D8" s="34" t="s">
        <v>2770</v>
      </c>
      <c r="E8" s="34" t="s">
        <v>2774</v>
      </c>
      <c r="F8" s="34" t="s">
        <v>2772</v>
      </c>
      <c r="G8" s="9" t="s">
        <v>2773</v>
      </c>
    </row>
    <row r="9" spans="1:7" x14ac:dyDescent="0.35">
      <c r="A9" s="8"/>
      <c r="B9" s="26">
        <v>100</v>
      </c>
      <c r="C9" s="26">
        <f>IF(表5_7[[#This Row],[常量键]]="","",90100000+ROW()-4)</f>
        <v>90100005</v>
      </c>
      <c r="D9" s="34" t="s">
        <v>1534</v>
      </c>
      <c r="E9" s="34" t="s">
        <v>1533</v>
      </c>
      <c r="F9" s="34" t="s">
        <v>1532</v>
      </c>
      <c r="G9" s="9" t="s">
        <v>1535</v>
      </c>
    </row>
    <row r="10" spans="1:7" x14ac:dyDescent="0.35">
      <c r="A10" s="8"/>
      <c r="B10" s="26">
        <v>100</v>
      </c>
      <c r="C10" s="26">
        <f>IF(表5_7[[#This Row],[常量键]]="","",90100000+ROW()-4)</f>
        <v>90100006</v>
      </c>
      <c r="D10" s="34" t="s">
        <v>2702</v>
      </c>
      <c r="E10" s="34" t="s">
        <v>2705</v>
      </c>
      <c r="F10" s="34" t="s">
        <v>2704</v>
      </c>
      <c r="G10" s="9" t="s">
        <v>2703</v>
      </c>
    </row>
    <row r="11" spans="1:7" x14ac:dyDescent="0.35">
      <c r="A11" s="8"/>
      <c r="B11" s="26">
        <v>100</v>
      </c>
      <c r="C11" s="26">
        <f>IF(表5_7[[#This Row],[常量键]]="","",90100000+ROW()-4)</f>
        <v>90100007</v>
      </c>
      <c r="D11" s="34" t="s">
        <v>2706</v>
      </c>
      <c r="E11" s="34" t="s">
        <v>2708</v>
      </c>
      <c r="F11" s="34" t="s">
        <v>2704</v>
      </c>
      <c r="G11" s="9" t="s">
        <v>2707</v>
      </c>
    </row>
    <row r="12" spans="1:7" x14ac:dyDescent="0.35">
      <c r="A12" s="8"/>
      <c r="B12" s="26">
        <v>100</v>
      </c>
      <c r="C12" s="26">
        <f>IF(表5_7[[#This Row],[常量键]]="","",90100000+ROW()-4)</f>
        <v>90100008</v>
      </c>
      <c r="D12" s="34" t="s">
        <v>2709</v>
      </c>
      <c r="E12" s="34" t="s">
        <v>2712</v>
      </c>
      <c r="F12" s="34" t="s">
        <v>2710</v>
      </c>
      <c r="G12" s="9" t="s">
        <v>2711</v>
      </c>
    </row>
    <row r="13" spans="1:7" x14ac:dyDescent="0.35">
      <c r="A13" s="8"/>
      <c r="B13" s="26">
        <v>100</v>
      </c>
      <c r="C13" s="26">
        <f>IF(表5_7[[#This Row],[常量键]]="","",90100000+ROW()-4)</f>
        <v>90100009</v>
      </c>
      <c r="D13" s="34" t="s">
        <v>1883</v>
      </c>
      <c r="E13" s="34" t="s">
        <v>1884</v>
      </c>
      <c r="F13" s="34" t="s">
        <v>1885</v>
      </c>
      <c r="G13" s="9" t="s">
        <v>2062</v>
      </c>
    </row>
    <row r="14" spans="1:7" x14ac:dyDescent="0.35">
      <c r="A14" s="8"/>
      <c r="B14" s="26">
        <v>100</v>
      </c>
      <c r="C14" s="26">
        <f>IF(表5_7[[#This Row],[常量键]]="","",90100000+ROW()-4)</f>
        <v>90100010</v>
      </c>
      <c r="D14" s="34" t="s">
        <v>2713</v>
      </c>
      <c r="E14" s="34" t="s">
        <v>2714</v>
      </c>
      <c r="F14" s="34" t="s">
        <v>2704</v>
      </c>
      <c r="G14" s="9" t="s">
        <v>2715</v>
      </c>
    </row>
    <row r="15" spans="1:7" x14ac:dyDescent="0.35">
      <c r="A15" s="8"/>
      <c r="B15" s="7">
        <v>100</v>
      </c>
      <c r="C15" s="26">
        <f>IF(表5_7[[#This Row],[常量键]]="","",90100000+ROW()-4)</f>
        <v>90100011</v>
      </c>
      <c r="D15" s="34" t="s">
        <v>3436</v>
      </c>
      <c r="E15" s="34" t="s">
        <v>3500</v>
      </c>
      <c r="F15" s="34" t="s">
        <v>3437</v>
      </c>
      <c r="G15" s="9" t="s">
        <v>3501</v>
      </c>
    </row>
    <row r="16" spans="1:7" x14ac:dyDescent="0.35">
      <c r="A16" s="8"/>
      <c r="B16" s="26">
        <v>100</v>
      </c>
      <c r="C16" s="26">
        <f>IF(表5_7[[#This Row],[常量键]]="","",90100000+ROW()-4)</f>
        <v>90100012</v>
      </c>
      <c r="D16" s="34" t="s">
        <v>2028</v>
      </c>
      <c r="E16" s="34" t="s">
        <v>2031</v>
      </c>
      <c r="F16" s="34" t="s">
        <v>2029</v>
      </c>
      <c r="G16" s="9" t="s">
        <v>2030</v>
      </c>
    </row>
    <row r="17" spans="1:7" x14ac:dyDescent="0.35">
      <c r="A17" s="8"/>
      <c r="B17" s="26">
        <v>100</v>
      </c>
      <c r="C17" s="26">
        <f>IF(表5_7[[#This Row],[常量键]]="","",90100000+ROW()-4)</f>
        <v>90100013</v>
      </c>
      <c r="D17" s="34" t="s">
        <v>1860</v>
      </c>
      <c r="E17" s="34" t="s">
        <v>1856</v>
      </c>
      <c r="F17" s="34" t="s">
        <v>1858</v>
      </c>
      <c r="G17" s="9" t="s">
        <v>1862</v>
      </c>
    </row>
    <row r="18" spans="1:7" x14ac:dyDescent="0.35">
      <c r="A18" s="8"/>
      <c r="B18" s="26">
        <v>100</v>
      </c>
      <c r="C18" s="26">
        <f>IF(表5_7[[#This Row],[常量键]]="","",90100000+ROW()-4)</f>
        <v>90100014</v>
      </c>
      <c r="D18" s="34" t="s">
        <v>1861</v>
      </c>
      <c r="E18" s="34" t="s">
        <v>1857</v>
      </c>
      <c r="F18" s="34" t="s">
        <v>1859</v>
      </c>
      <c r="G18" s="9" t="s">
        <v>1863</v>
      </c>
    </row>
    <row r="19" spans="1:7" x14ac:dyDescent="0.35">
      <c r="A19" s="8"/>
      <c r="B19" s="26">
        <v>100</v>
      </c>
      <c r="C19" s="26">
        <f>IF(表5_7[[#This Row],[常量键]]="","",90100000+ROW()-4)</f>
        <v>90100015</v>
      </c>
      <c r="D19" s="34" t="s">
        <v>2786</v>
      </c>
      <c r="E19" s="34" t="s">
        <v>2789</v>
      </c>
      <c r="F19" s="34" t="s">
        <v>2788</v>
      </c>
      <c r="G19" s="9" t="s">
        <v>2790</v>
      </c>
    </row>
    <row r="20" spans="1:7" x14ac:dyDescent="0.35">
      <c r="A20" s="8"/>
      <c r="B20" s="26">
        <v>100</v>
      </c>
      <c r="C20" s="26">
        <f>IF(表5_7[[#This Row],[常量键]]="","",90100000+ROW()-4)</f>
        <v>90100016</v>
      </c>
      <c r="D20" s="41" t="s">
        <v>1255</v>
      </c>
      <c r="E20" s="41" t="s">
        <v>1249</v>
      </c>
      <c r="F20" s="41" t="s">
        <v>101</v>
      </c>
      <c r="G20" s="40" t="s">
        <v>1252</v>
      </c>
    </row>
    <row r="21" spans="1:7" x14ac:dyDescent="0.35">
      <c r="A21" s="8"/>
      <c r="B21" s="26">
        <v>100</v>
      </c>
      <c r="C21" s="26">
        <f>IF(表5_7[[#This Row],[常量键]]="","",90100000+ROW()-4)</f>
        <v>90100017</v>
      </c>
      <c r="D21" s="41" t="s">
        <v>1248</v>
      </c>
      <c r="E21" s="41" t="s">
        <v>2933</v>
      </c>
      <c r="F21" s="41" t="s">
        <v>1107</v>
      </c>
      <c r="G21" s="40" t="s">
        <v>1253</v>
      </c>
    </row>
    <row r="22" spans="1:7" x14ac:dyDescent="0.35">
      <c r="A22" s="8"/>
      <c r="B22" s="7">
        <v>100</v>
      </c>
      <c r="C22" s="26">
        <f>IF(表5_7[[#This Row],[常量键]]="","",90100000+ROW()-4)</f>
        <v>90100018</v>
      </c>
      <c r="D22" s="41" t="s">
        <v>1251</v>
      </c>
      <c r="E22" s="41" t="s">
        <v>1250</v>
      </c>
      <c r="F22" s="41" t="s">
        <v>101</v>
      </c>
      <c r="G22" s="40" t="s">
        <v>1254</v>
      </c>
    </row>
    <row r="23" spans="1:7" x14ac:dyDescent="0.35">
      <c r="A23" s="8"/>
      <c r="B23" s="7">
        <v>100</v>
      </c>
      <c r="C23" s="26">
        <f>IF(表5_7[[#This Row],[常量键]]="","",90100000+ROW()-4)</f>
        <v>90100019</v>
      </c>
      <c r="D23" s="34" t="s">
        <v>3160</v>
      </c>
      <c r="E23" s="34" t="s">
        <v>2930</v>
      </c>
      <c r="F23" s="34" t="s">
        <v>1858</v>
      </c>
      <c r="G23" s="9" t="s">
        <v>2931</v>
      </c>
    </row>
    <row r="24" spans="1:7" x14ac:dyDescent="0.35">
      <c r="A24" s="8"/>
      <c r="B24" s="7">
        <v>100</v>
      </c>
      <c r="C24" s="26">
        <f>IF(表5_7[[#This Row],[常量键]]="","",90100000+ROW()-4)</f>
        <v>90100020</v>
      </c>
      <c r="D24" s="34" t="s">
        <v>2783</v>
      </c>
      <c r="E24" s="34" t="s">
        <v>2784</v>
      </c>
      <c r="F24" s="34" t="s">
        <v>101</v>
      </c>
      <c r="G24" s="9" t="s">
        <v>2785</v>
      </c>
    </row>
    <row r="25" spans="1:7" x14ac:dyDescent="0.35">
      <c r="A25" s="8"/>
      <c r="B25" s="7">
        <v>100</v>
      </c>
      <c r="C25" s="26">
        <f>IF(表5_7[[#This Row],[常量键]]="","",90100000+ROW()-4)</f>
        <v>90100021</v>
      </c>
      <c r="D25" s="34" t="s">
        <v>2691</v>
      </c>
      <c r="E25" s="34" t="s">
        <v>2694</v>
      </c>
      <c r="F25" s="34" t="s">
        <v>2693</v>
      </c>
      <c r="G25" s="9" t="s">
        <v>2696</v>
      </c>
    </row>
    <row r="26" spans="1:7" x14ac:dyDescent="0.35">
      <c r="A26" s="8"/>
      <c r="B26" s="7">
        <v>100</v>
      </c>
      <c r="C26" s="26">
        <f>IF(表5_7[[#This Row],[常量键]]="","",90100000+ROW()-4)</f>
        <v>90100022</v>
      </c>
      <c r="D26" s="34" t="s">
        <v>2692</v>
      </c>
      <c r="E26" s="34" t="s">
        <v>2695</v>
      </c>
      <c r="F26" s="34" t="s">
        <v>2693</v>
      </c>
      <c r="G26" s="9" t="s">
        <v>2697</v>
      </c>
    </row>
    <row r="27" spans="1:7" x14ac:dyDescent="0.35">
      <c r="A27" s="8"/>
      <c r="B27" s="7">
        <v>100</v>
      </c>
      <c r="C27" s="26">
        <f>IF(表5_7[[#This Row],[常量键]]="","",90100000+ROW()-4)</f>
        <v>90100023</v>
      </c>
      <c r="D27" s="34" t="s">
        <v>3497</v>
      </c>
      <c r="E27" s="34" t="s">
        <v>3504</v>
      </c>
      <c r="F27" s="34" t="s">
        <v>3499</v>
      </c>
      <c r="G27" s="9" t="s">
        <v>3498</v>
      </c>
    </row>
    <row r="28" spans="1:7" x14ac:dyDescent="0.35">
      <c r="A28" s="8"/>
      <c r="B28" s="7">
        <v>100</v>
      </c>
      <c r="C28" s="26" t="str">
        <f>IF(表5_7[[#This Row],[常量键]]="","",90100000+ROW()-4)</f>
        <v/>
      </c>
      <c r="D28" s="34"/>
      <c r="E28" s="34"/>
      <c r="F28" s="34"/>
      <c r="G28" s="9"/>
    </row>
    <row r="29" spans="1:7" x14ac:dyDescent="0.35">
      <c r="A29" s="8"/>
      <c r="B29" s="7">
        <v>100</v>
      </c>
      <c r="C29" s="26" t="str">
        <f>IF(表5_7[[#This Row],[常量键]]="","",90100000+ROW()-4)</f>
        <v/>
      </c>
      <c r="D29" s="34"/>
      <c r="E29" s="34"/>
      <c r="F29" s="34"/>
      <c r="G29" s="9"/>
    </row>
    <row r="30" spans="1:7" x14ac:dyDescent="0.35">
      <c r="A30" s="8"/>
      <c r="B30" s="7">
        <v>100</v>
      </c>
      <c r="C30" s="26" t="str">
        <f>IF(表5_7[[#This Row],[常量键]]="","",90100000+ROW()-4)</f>
        <v/>
      </c>
      <c r="D30" s="34"/>
      <c r="E30" s="34"/>
      <c r="F30" s="34"/>
      <c r="G30" s="9"/>
    </row>
    <row r="31" spans="1:7" x14ac:dyDescent="0.35">
      <c r="A31" s="8"/>
      <c r="B31" s="7">
        <v>100</v>
      </c>
      <c r="C31" s="26" t="str">
        <f>IF(表5_7[[#This Row],[常量键]]="","",90100000+ROW()-4)</f>
        <v/>
      </c>
      <c r="D31" s="34"/>
      <c r="E31" s="34"/>
      <c r="F31" s="34"/>
      <c r="G31" s="9"/>
    </row>
    <row r="32" spans="1:7" x14ac:dyDescent="0.35">
      <c r="A32" s="8"/>
      <c r="B32" s="7">
        <v>100</v>
      </c>
      <c r="C32" s="26" t="str">
        <f>IF(表5_7[[#This Row],[常量键]]="","",90100000+ROW()-4)</f>
        <v/>
      </c>
      <c r="D32" s="34"/>
      <c r="E32" s="34"/>
      <c r="F32" s="34"/>
      <c r="G32" s="9"/>
    </row>
    <row r="33" spans="1:8" x14ac:dyDescent="0.35">
      <c r="A33" s="8"/>
      <c r="B33" s="7">
        <v>100</v>
      </c>
      <c r="C33" s="26" t="str">
        <f>IF(表5_7[[#This Row],[常量键]]="","",90100000+ROW()-4)</f>
        <v/>
      </c>
      <c r="D33" s="34"/>
      <c r="E33" s="34"/>
      <c r="F33" s="34"/>
      <c r="G33" s="9"/>
    </row>
    <row r="34" spans="1:8" x14ac:dyDescent="0.35">
      <c r="A34" s="8"/>
      <c r="B34" s="7">
        <v>100</v>
      </c>
      <c r="C34" s="26" t="str">
        <f>IF(表5_7[[#This Row],[常量键]]="","",90100000+ROW()-4)</f>
        <v/>
      </c>
      <c r="D34" s="34"/>
      <c r="E34" s="34"/>
      <c r="F34" s="34"/>
      <c r="G34" s="9"/>
    </row>
    <row r="35" spans="1:8" x14ac:dyDescent="0.35">
      <c r="A35" s="8"/>
      <c r="B35" s="7">
        <v>100</v>
      </c>
      <c r="C35" s="26" t="str">
        <f>IF(表5_7[[#This Row],[常量键]]="","",90100000+ROW()-4)</f>
        <v/>
      </c>
      <c r="D35" s="34"/>
      <c r="E35" s="34"/>
      <c r="F35" s="34"/>
      <c r="G35" s="9"/>
    </row>
    <row r="36" spans="1:8" x14ac:dyDescent="0.35">
      <c r="A36" s="8"/>
      <c r="B36" s="7">
        <v>100</v>
      </c>
      <c r="C36" s="26" t="str">
        <f>IF(表5_7[[#This Row],[常量键]]="","",90100000+ROW()-4)</f>
        <v/>
      </c>
      <c r="D36" s="34"/>
      <c r="E36" s="34"/>
      <c r="F36" s="34"/>
      <c r="G36" s="9"/>
    </row>
    <row r="37" spans="1:8" x14ac:dyDescent="0.35">
      <c r="A37" s="8"/>
      <c r="B37" s="7">
        <v>100</v>
      </c>
      <c r="C37" s="26" t="str">
        <f>IF(表5_7[[#This Row],[常量键]]="","",90100000+ROW()-4)</f>
        <v/>
      </c>
      <c r="D37" s="34"/>
      <c r="E37" s="34"/>
      <c r="F37" s="34"/>
      <c r="G37" s="9"/>
    </row>
    <row r="38" spans="1:8" x14ac:dyDescent="0.35">
      <c r="A38" s="8"/>
      <c r="B38" s="7">
        <v>100</v>
      </c>
      <c r="C38" s="26" t="str">
        <f>IF(表5_7[[#This Row],[常量键]]="","",90100000+ROW()-4)</f>
        <v/>
      </c>
      <c r="D38" s="34"/>
      <c r="E38" s="34"/>
      <c r="F38" s="34"/>
      <c r="G38" s="9"/>
    </row>
    <row r="39" spans="1:8" x14ac:dyDescent="0.35">
      <c r="A39" s="8"/>
      <c r="B39" s="7">
        <v>100</v>
      </c>
      <c r="C39" s="26" t="str">
        <f>IF(表5_7[[#This Row],[常量键]]="","",90100000+ROW()-4)</f>
        <v/>
      </c>
      <c r="D39" s="34"/>
      <c r="E39" s="34"/>
      <c r="F39" s="34"/>
      <c r="G39" s="9"/>
    </row>
    <row r="40" spans="1:8" x14ac:dyDescent="0.35">
      <c r="A40" s="8"/>
      <c r="B40" s="7">
        <v>100</v>
      </c>
      <c r="C40" s="26" t="str">
        <f>IF(表5_7[[#This Row],[常量键]]="","",90100000+ROW()-4)</f>
        <v/>
      </c>
      <c r="D40" s="34"/>
      <c r="E40" s="34"/>
      <c r="F40" s="34"/>
      <c r="G40" s="9"/>
    </row>
    <row r="41" spans="1:8" x14ac:dyDescent="0.35">
      <c r="A41" s="8"/>
      <c r="B41" s="7">
        <v>100</v>
      </c>
      <c r="C41" s="26" t="str">
        <f>IF(表5_7[[#This Row],[常量键]]="","",90100000+ROW()-4)</f>
        <v/>
      </c>
      <c r="D41" s="34"/>
      <c r="E41" s="34"/>
      <c r="F41" s="34"/>
      <c r="G41" s="9"/>
    </row>
    <row r="42" spans="1:8" x14ac:dyDescent="0.35">
      <c r="A42" s="8" t="s">
        <v>104</v>
      </c>
      <c r="B42" s="7">
        <v>100</v>
      </c>
      <c r="C42" s="26">
        <f>IF(表5_7[[#This Row],[常量键]]="","",90100000+ROW()-4)</f>
        <v>90100038</v>
      </c>
      <c r="D42" s="34" t="s">
        <v>1873</v>
      </c>
      <c r="E42" s="34" t="s">
        <v>1880</v>
      </c>
      <c r="F42" s="34" t="s">
        <v>1876</v>
      </c>
      <c r="G42" s="9" t="s">
        <v>1877</v>
      </c>
      <c r="H42" s="10" t="s">
        <v>2938</v>
      </c>
    </row>
    <row r="43" spans="1:8" x14ac:dyDescent="0.35">
      <c r="A43" s="8" t="s">
        <v>104</v>
      </c>
      <c r="B43" s="7">
        <v>100</v>
      </c>
      <c r="C43" s="26">
        <f>IF(表5_7[[#This Row],[常量键]]="","",90100000+ROW()-4)</f>
        <v>90100039</v>
      </c>
      <c r="D43" s="34" t="s">
        <v>1874</v>
      </c>
      <c r="E43" s="34" t="s">
        <v>1881</v>
      </c>
      <c r="F43" s="34" t="s">
        <v>1858</v>
      </c>
      <c r="G43" s="9" t="s">
        <v>1878</v>
      </c>
      <c r="H43" s="10" t="s">
        <v>2938</v>
      </c>
    </row>
    <row r="44" spans="1:8" x14ac:dyDescent="0.35">
      <c r="A44" s="8" t="s">
        <v>104</v>
      </c>
      <c r="B44" s="7">
        <v>100</v>
      </c>
      <c r="C44" s="26">
        <f>IF(表5_7[[#This Row],[常量键]]="","",90100000+ROW()-4)</f>
        <v>90100040</v>
      </c>
      <c r="D44" s="34" t="s">
        <v>1875</v>
      </c>
      <c r="E44" s="34" t="s">
        <v>1882</v>
      </c>
      <c r="F44" s="34" t="s">
        <v>1858</v>
      </c>
      <c r="G44" s="9" t="s">
        <v>1879</v>
      </c>
      <c r="H44" s="10" t="s">
        <v>2938</v>
      </c>
    </row>
    <row r="45" spans="1:8" x14ac:dyDescent="0.35">
      <c r="A45" s="8"/>
      <c r="B45" s="7">
        <v>100</v>
      </c>
      <c r="C45" s="26" t="str">
        <f>IF(表5_7[[#This Row],[常量键]]="","",90100000+ROW()-4)</f>
        <v/>
      </c>
      <c r="D45" s="34"/>
      <c r="E45" s="34"/>
      <c r="F45" s="34"/>
      <c r="G45" s="9"/>
    </row>
    <row r="46" spans="1:8" x14ac:dyDescent="0.35">
      <c r="A46" s="8"/>
      <c r="B46" s="7">
        <v>100</v>
      </c>
      <c r="C46" s="26" t="str">
        <f>IF(表5_7[[#This Row],[常量键]]="","",90100000+ROW()-4)</f>
        <v/>
      </c>
      <c r="D46" s="34"/>
      <c r="E46" s="34"/>
      <c r="F46" s="34"/>
      <c r="G46" s="9"/>
    </row>
    <row r="47" spans="1:8" x14ac:dyDescent="0.35">
      <c r="A47" s="8"/>
      <c r="B47" s="7">
        <v>100</v>
      </c>
      <c r="C47" s="26" t="str">
        <f>IF(表5_7[[#This Row],[常量键]]="","",90100000+ROW()-4)</f>
        <v/>
      </c>
      <c r="D47" s="34"/>
      <c r="E47" s="34"/>
      <c r="F47" s="34"/>
      <c r="G47" s="9"/>
    </row>
    <row r="48" spans="1:8" x14ac:dyDescent="0.35">
      <c r="A48" s="8"/>
      <c r="B48" s="7">
        <v>100</v>
      </c>
      <c r="C48" s="26" t="str">
        <f>IF(表5_7[[#This Row],[常量键]]="","",90100000+ROW()-4)</f>
        <v/>
      </c>
      <c r="D48" s="34"/>
      <c r="E48" s="34"/>
      <c r="F48" s="34"/>
      <c r="G48" s="9"/>
    </row>
    <row r="49" spans="1:7" x14ac:dyDescent="0.35">
      <c r="A49" s="8"/>
      <c r="B49" s="7">
        <v>100</v>
      </c>
      <c r="C49" s="26" t="str">
        <f>IF(表5_7[[#This Row],[常量键]]="","",90100000+ROW()-4)</f>
        <v/>
      </c>
      <c r="D49" s="34"/>
      <c r="E49" s="34"/>
      <c r="F49" s="34"/>
      <c r="G49" s="9"/>
    </row>
    <row r="50" spans="1:7" x14ac:dyDescent="0.35">
      <c r="A50" s="8"/>
      <c r="B50" s="7">
        <v>100</v>
      </c>
      <c r="C50" s="26" t="str">
        <f>IF(表5_7[[#This Row],[常量键]]="","",90100000+ROW()-4)</f>
        <v/>
      </c>
      <c r="D50" s="34"/>
      <c r="E50" s="34"/>
      <c r="F50" s="34"/>
      <c r="G50" s="9"/>
    </row>
    <row r="51" spans="1:7" x14ac:dyDescent="0.35">
      <c r="A51" s="8"/>
      <c r="B51" s="7">
        <v>100</v>
      </c>
      <c r="C51" s="26" t="str">
        <f>IF(表5_7[[#This Row],[常量键]]="","",90100000+ROW()-4)</f>
        <v/>
      </c>
      <c r="D51" s="34"/>
      <c r="E51" s="34"/>
      <c r="F51" s="34"/>
      <c r="G51" s="9"/>
    </row>
    <row r="52" spans="1:7" x14ac:dyDescent="0.35">
      <c r="A52" s="8"/>
      <c r="B52" s="7">
        <v>100</v>
      </c>
      <c r="C52" s="26" t="str">
        <f>IF(表5_7[[#This Row],[常量键]]="","",90100000+ROW()-4)</f>
        <v/>
      </c>
      <c r="D52" s="34"/>
      <c r="E52" s="34"/>
      <c r="F52" s="34"/>
      <c r="G52" s="9"/>
    </row>
    <row r="53" spans="1:7" x14ac:dyDescent="0.35">
      <c r="A53" s="8"/>
      <c r="B53" s="7">
        <v>100</v>
      </c>
      <c r="C53" s="26" t="str">
        <f>IF(表5_7[[#This Row],[常量键]]="","",90100000+ROW()-4)</f>
        <v/>
      </c>
      <c r="D53" s="34"/>
      <c r="E53" s="34"/>
      <c r="F53" s="34"/>
      <c r="G53" s="9"/>
    </row>
    <row r="54" spans="1:7" x14ac:dyDescent="0.35">
      <c r="A54" s="8"/>
      <c r="B54" s="7">
        <v>100</v>
      </c>
      <c r="C54" s="26" t="str">
        <f>IF(表5_7[[#This Row],[常量键]]="","",90100000+ROW()-4)</f>
        <v/>
      </c>
      <c r="D54" s="34"/>
      <c r="E54" s="34"/>
      <c r="F54" s="34"/>
      <c r="G54" s="9"/>
    </row>
    <row r="55" spans="1:7" x14ac:dyDescent="0.35">
      <c r="A55" s="8"/>
      <c r="B55" s="7">
        <v>100</v>
      </c>
      <c r="C55" s="26" t="str">
        <f>IF(表5_7[[#This Row],[常量键]]="","",90100000+ROW()-4)</f>
        <v/>
      </c>
      <c r="D55" s="34"/>
      <c r="E55" s="34"/>
      <c r="F55" s="34"/>
      <c r="G55" s="9"/>
    </row>
    <row r="56" spans="1:7" x14ac:dyDescent="0.35">
      <c r="A56" s="8"/>
      <c r="B56" s="7">
        <v>100</v>
      </c>
      <c r="C56" s="26" t="str">
        <f>IF(表5_7[[#This Row],[常量键]]="","",90100000+ROW()-4)</f>
        <v/>
      </c>
      <c r="D56" s="34"/>
      <c r="E56" s="34"/>
      <c r="F56" s="34"/>
      <c r="G56" s="9"/>
    </row>
    <row r="57" spans="1:7" x14ac:dyDescent="0.35">
      <c r="A57" s="8"/>
      <c r="B57" s="7">
        <v>100</v>
      </c>
      <c r="C57" s="26" t="str">
        <f>IF(表5_7[[#This Row],[常量键]]="","",90100000+ROW()-4)</f>
        <v/>
      </c>
      <c r="D57" s="34"/>
      <c r="E57" s="34"/>
      <c r="F57" s="34"/>
      <c r="G57" s="9"/>
    </row>
    <row r="58" spans="1:7" x14ac:dyDescent="0.35">
      <c r="A58" s="8"/>
      <c r="B58" s="7">
        <v>100</v>
      </c>
      <c r="C58" s="26" t="str">
        <f>IF(表5_7[[#This Row],[常量键]]="","",90100000+ROW()-4)</f>
        <v/>
      </c>
      <c r="D58" s="34"/>
      <c r="E58" s="34"/>
      <c r="F58" s="34"/>
      <c r="G58" s="9"/>
    </row>
    <row r="59" spans="1:7" x14ac:dyDescent="0.35">
      <c r="A59" s="8"/>
      <c r="B59" s="7">
        <v>100</v>
      </c>
      <c r="C59" s="26" t="str">
        <f>IF(表5_7[[#This Row],[常量键]]="","",90100000+ROW()-4)</f>
        <v/>
      </c>
      <c r="D59" s="34"/>
      <c r="E59" s="34"/>
      <c r="F59" s="34"/>
      <c r="G59" s="9"/>
    </row>
    <row r="60" spans="1:7" x14ac:dyDescent="0.35">
      <c r="A60" s="8"/>
      <c r="B60" s="7">
        <v>100</v>
      </c>
      <c r="C60" s="26" t="str">
        <f>IF(表5_7[[#This Row],[常量键]]="","",90100000+ROW()-4)</f>
        <v/>
      </c>
      <c r="D60" s="34"/>
      <c r="E60" s="34"/>
      <c r="F60" s="34"/>
      <c r="G60" s="9"/>
    </row>
    <row r="61" spans="1:7" x14ac:dyDescent="0.35">
      <c r="A61" s="8"/>
      <c r="B61" s="7">
        <v>100</v>
      </c>
      <c r="C61" s="26" t="str">
        <f>IF(表5_7[[#This Row],[常量键]]="","",90100000+ROW()-4)</f>
        <v/>
      </c>
      <c r="D61" s="34"/>
      <c r="E61" s="34"/>
      <c r="F61" s="34"/>
      <c r="G61" s="9"/>
    </row>
    <row r="62" spans="1:7" x14ac:dyDescent="0.35">
      <c r="A62" s="8"/>
      <c r="B62" s="7">
        <v>100</v>
      </c>
      <c r="C62" s="26" t="str">
        <f>IF(表5_7[[#This Row],[常量键]]="","",90100000+ROW()-4)</f>
        <v/>
      </c>
      <c r="D62" s="34"/>
      <c r="E62" s="34"/>
      <c r="F62" s="34"/>
      <c r="G62" s="9"/>
    </row>
    <row r="63" spans="1:7" x14ac:dyDescent="0.35">
      <c r="A63" s="8"/>
      <c r="B63" s="7">
        <v>100</v>
      </c>
      <c r="C63" s="26" t="str">
        <f>IF(表5_7[[#This Row],[常量键]]="","",90100000+ROW()-4)</f>
        <v/>
      </c>
      <c r="D63" s="34"/>
      <c r="E63" s="34"/>
      <c r="F63" s="34"/>
      <c r="G63" s="9"/>
    </row>
    <row r="64" spans="1:7" x14ac:dyDescent="0.35">
      <c r="A64" s="8"/>
      <c r="B64" s="7">
        <v>100</v>
      </c>
      <c r="C64" s="26" t="str">
        <f>IF(表5_7[[#This Row],[常量键]]="","",90100000+ROW()-4)</f>
        <v/>
      </c>
      <c r="D64" s="34"/>
      <c r="E64" s="34"/>
      <c r="F64" s="34"/>
      <c r="G64" s="9"/>
    </row>
    <row r="65" spans="1:7" x14ac:dyDescent="0.35">
      <c r="A65" s="8"/>
      <c r="B65" s="7">
        <v>100</v>
      </c>
      <c r="C65" s="26" t="str">
        <f>IF(表5_7[[#This Row],[常量键]]="","",90100000+ROW()-4)</f>
        <v/>
      </c>
      <c r="D65" s="34"/>
      <c r="E65" s="34"/>
      <c r="F65" s="34"/>
      <c r="G65" s="9"/>
    </row>
    <row r="66" spans="1:7" x14ac:dyDescent="0.35">
      <c r="A66" s="8"/>
      <c r="B66" s="7">
        <v>100</v>
      </c>
      <c r="C66" s="26" t="str">
        <f>IF(表5_7[[#This Row],[常量键]]="","",90100000+ROW()-4)</f>
        <v/>
      </c>
      <c r="D66" s="34"/>
      <c r="E66" s="34"/>
      <c r="F66" s="34"/>
      <c r="G66" s="9"/>
    </row>
    <row r="67" spans="1:7" x14ac:dyDescent="0.35">
      <c r="A67" s="8"/>
      <c r="B67" s="7">
        <v>100</v>
      </c>
      <c r="C67" s="26" t="str">
        <f>IF(表5_7[[#This Row],[常量键]]="","",90100000+ROW()-4)</f>
        <v/>
      </c>
      <c r="D67" s="34"/>
      <c r="E67" s="34"/>
      <c r="F67" s="34"/>
      <c r="G67" s="9"/>
    </row>
    <row r="68" spans="1:7" x14ac:dyDescent="0.35">
      <c r="A68" s="8"/>
      <c r="B68" s="7">
        <v>100</v>
      </c>
      <c r="C68" s="26" t="str">
        <f>IF(表5_7[[#This Row],[常量键]]="","",90100000+ROW()-4)</f>
        <v/>
      </c>
      <c r="D68" s="34"/>
      <c r="E68" s="34"/>
      <c r="F68" s="34"/>
      <c r="G68" s="9"/>
    </row>
    <row r="69" spans="1:7" x14ac:dyDescent="0.35">
      <c r="A69" s="8"/>
      <c r="B69" s="7">
        <v>100</v>
      </c>
      <c r="C69" s="26" t="str">
        <f>IF(表5_7[[#This Row],[常量键]]="","",90100000+ROW()-4)</f>
        <v/>
      </c>
      <c r="D69" s="34"/>
      <c r="E69" s="34"/>
      <c r="F69" s="34"/>
      <c r="G69" s="9"/>
    </row>
    <row r="70" spans="1:7" x14ac:dyDescent="0.35">
      <c r="A70" s="8"/>
      <c r="B70" s="7">
        <v>100</v>
      </c>
      <c r="C70" s="26" t="str">
        <f>IF(表5_7[[#This Row],[常量键]]="","",90100000+ROW()-4)</f>
        <v/>
      </c>
      <c r="D70" s="34"/>
      <c r="E70" s="34"/>
      <c r="F70" s="34"/>
      <c r="G70" s="9"/>
    </row>
    <row r="71" spans="1:7" x14ac:dyDescent="0.35">
      <c r="A71" s="8"/>
      <c r="B71" s="7">
        <v>100</v>
      </c>
      <c r="C71" s="26" t="str">
        <f>IF(表5_7[[#This Row],[常量键]]="","",90100000+ROW()-4)</f>
        <v/>
      </c>
      <c r="D71" s="34"/>
      <c r="E71" s="34"/>
      <c r="F71" s="34"/>
      <c r="G71" s="9"/>
    </row>
    <row r="72" spans="1:7" x14ac:dyDescent="0.35">
      <c r="A72" s="8"/>
      <c r="B72" s="7">
        <v>100</v>
      </c>
      <c r="C72" s="26" t="str">
        <f>IF(表5_7[[#This Row],[常量键]]="","",90100000+ROW()-4)</f>
        <v/>
      </c>
      <c r="D72" s="34"/>
      <c r="E72" s="34"/>
      <c r="F72" s="34"/>
      <c r="G72" s="9"/>
    </row>
    <row r="73" spans="1:7" x14ac:dyDescent="0.35">
      <c r="A73" s="8"/>
      <c r="B73" s="7">
        <v>100</v>
      </c>
      <c r="C73" s="26" t="str">
        <f>IF(表5_7[[#This Row],[常量键]]="","",90100000+ROW()-4)</f>
        <v/>
      </c>
      <c r="D73" s="34"/>
      <c r="E73" s="34"/>
      <c r="F73" s="34"/>
      <c r="G73" s="9"/>
    </row>
    <row r="74" spans="1:7" x14ac:dyDescent="0.35">
      <c r="A74" s="8"/>
      <c r="B74" s="7">
        <v>100</v>
      </c>
      <c r="C74" s="26" t="str">
        <f>IF(表5_7[[#This Row],[常量键]]="","",90100000+ROW()-4)</f>
        <v/>
      </c>
      <c r="D74" s="34"/>
      <c r="E74" s="34"/>
      <c r="F74" s="34"/>
      <c r="G74" s="9"/>
    </row>
    <row r="75" spans="1:7" x14ac:dyDescent="0.35">
      <c r="A75" s="8"/>
      <c r="B75" s="7">
        <v>100</v>
      </c>
      <c r="C75" s="26" t="str">
        <f>IF(表5_7[[#This Row],[常量键]]="","",90100000+ROW()-4)</f>
        <v/>
      </c>
      <c r="D75" s="34"/>
      <c r="E75" s="34"/>
      <c r="F75" s="34"/>
      <c r="G75" s="9"/>
    </row>
    <row r="76" spans="1:7" x14ac:dyDescent="0.35">
      <c r="A76" s="8"/>
      <c r="B76" s="7">
        <v>100</v>
      </c>
      <c r="C76" s="26" t="str">
        <f>IF(表5_7[[#This Row],[常量键]]="","",90100000+ROW()-4)</f>
        <v/>
      </c>
      <c r="D76" s="34"/>
      <c r="E76" s="34"/>
      <c r="F76" s="34"/>
      <c r="G76" s="9"/>
    </row>
    <row r="77" spans="1:7" x14ac:dyDescent="0.35">
      <c r="A77" s="8"/>
      <c r="B77" s="7">
        <v>100</v>
      </c>
      <c r="C77" s="26" t="str">
        <f>IF(表5_7[[#This Row],[常量键]]="","",90100000+ROW()-4)</f>
        <v/>
      </c>
      <c r="D77" s="34"/>
      <c r="E77" s="34"/>
      <c r="F77" s="34"/>
      <c r="G77" s="9"/>
    </row>
    <row r="78" spans="1:7" x14ac:dyDescent="0.35">
      <c r="A78" s="8"/>
      <c r="B78" s="7">
        <v>100</v>
      </c>
      <c r="C78" s="26" t="str">
        <f>IF(表5_7[[#This Row],[常量键]]="","",90100000+ROW()-4)</f>
        <v/>
      </c>
      <c r="D78" s="34"/>
      <c r="E78" s="34"/>
      <c r="F78" s="34"/>
      <c r="G78" s="9"/>
    </row>
    <row r="79" spans="1:7" x14ac:dyDescent="0.35">
      <c r="A79" s="8"/>
      <c r="B79" s="7">
        <v>100</v>
      </c>
      <c r="C79" s="26" t="str">
        <f>IF(表5_7[[#This Row],[常量键]]="","",90100000+ROW()-4)</f>
        <v/>
      </c>
      <c r="D79" s="34"/>
      <c r="E79" s="34"/>
      <c r="F79" s="34"/>
      <c r="G79" s="9"/>
    </row>
    <row r="80" spans="1:7" x14ac:dyDescent="0.35">
      <c r="A80" s="8"/>
      <c r="B80" s="7">
        <v>100</v>
      </c>
      <c r="C80" s="26" t="str">
        <f>IF(表5_7[[#This Row],[常量键]]="","",90100000+ROW()-4)</f>
        <v/>
      </c>
      <c r="D80" s="34"/>
      <c r="E80" s="34"/>
      <c r="F80" s="34"/>
      <c r="G80" s="9"/>
    </row>
    <row r="81" spans="1:7" x14ac:dyDescent="0.35">
      <c r="A81" s="8"/>
      <c r="B81" s="7">
        <v>100</v>
      </c>
      <c r="C81" s="26" t="str">
        <f>IF(表5_7[[#This Row],[常量键]]="","",90100000+ROW()-4)</f>
        <v/>
      </c>
      <c r="D81" s="34"/>
      <c r="E81" s="34"/>
      <c r="F81" s="34"/>
      <c r="G81" s="9"/>
    </row>
    <row r="82" spans="1:7" x14ac:dyDescent="0.35">
      <c r="A82" s="8"/>
      <c r="B82" s="7">
        <v>100</v>
      </c>
      <c r="C82" s="26" t="str">
        <f>IF(表5_7[[#This Row],[常量键]]="","",90100000+ROW()-4)</f>
        <v/>
      </c>
      <c r="D82" s="34"/>
      <c r="E82" s="34"/>
      <c r="F82" s="34"/>
      <c r="G82" s="9"/>
    </row>
    <row r="83" spans="1:7" x14ac:dyDescent="0.35">
      <c r="A83" s="8"/>
      <c r="B83" s="7">
        <v>100</v>
      </c>
      <c r="C83" s="26" t="str">
        <f>IF(表5_7[[#This Row],[常量键]]="","",90100000+ROW()-4)</f>
        <v/>
      </c>
      <c r="D83" s="34"/>
      <c r="E83" s="34"/>
      <c r="F83" s="34"/>
      <c r="G83" s="9"/>
    </row>
    <row r="84" spans="1:7" x14ac:dyDescent="0.35">
      <c r="A84" s="8"/>
      <c r="B84" s="7">
        <v>100</v>
      </c>
      <c r="C84" s="26" t="str">
        <f>IF(表5_7[[#This Row],[常量键]]="","",90100000+ROW()-4)</f>
        <v/>
      </c>
      <c r="D84" s="34"/>
      <c r="E84" s="34"/>
      <c r="F84" s="34"/>
      <c r="G84" s="9"/>
    </row>
    <row r="85" spans="1:7" x14ac:dyDescent="0.35">
      <c r="A85" s="8"/>
      <c r="B85" s="7">
        <v>100</v>
      </c>
      <c r="C85" s="26" t="str">
        <f>IF(表5_7[[#This Row],[常量键]]="","",90100000+ROW()-4)</f>
        <v/>
      </c>
      <c r="D85" s="34"/>
      <c r="E85" s="34"/>
      <c r="F85" s="34"/>
      <c r="G85" s="9"/>
    </row>
    <row r="86" spans="1:7" x14ac:dyDescent="0.35">
      <c r="A86" s="8"/>
      <c r="B86" s="7">
        <v>100</v>
      </c>
      <c r="C86" s="26" t="str">
        <f>IF(表5_7[[#This Row],[常量键]]="","",90100000+ROW()-4)</f>
        <v/>
      </c>
      <c r="D86" s="34"/>
      <c r="E86" s="34"/>
      <c r="F86" s="34"/>
      <c r="G86" s="9"/>
    </row>
    <row r="87" spans="1:7" x14ac:dyDescent="0.35">
      <c r="A87" s="8"/>
      <c r="B87" s="7">
        <v>100</v>
      </c>
      <c r="C87" s="26" t="str">
        <f>IF(表5_7[[#This Row],[常量键]]="","",90100000+ROW()-4)</f>
        <v/>
      </c>
      <c r="D87" s="34"/>
      <c r="E87" s="34"/>
      <c r="F87" s="34"/>
      <c r="G87" s="9"/>
    </row>
    <row r="88" spans="1:7" x14ac:dyDescent="0.35">
      <c r="A88" s="8"/>
      <c r="B88" s="7">
        <v>100</v>
      </c>
      <c r="C88" s="26" t="str">
        <f>IF(表5_7[[#This Row],[常量键]]="","",90100000+ROW()-4)</f>
        <v/>
      </c>
      <c r="D88" s="34"/>
      <c r="E88" s="34"/>
      <c r="F88" s="34"/>
      <c r="G88" s="9"/>
    </row>
    <row r="89" spans="1:7" x14ac:dyDescent="0.35">
      <c r="A89" s="8"/>
      <c r="B89" s="7">
        <v>100</v>
      </c>
      <c r="C89" s="26" t="str">
        <f>IF(表5_7[[#This Row],[常量键]]="","",90100000+ROW()-4)</f>
        <v/>
      </c>
      <c r="D89" s="34"/>
      <c r="E89" s="34"/>
      <c r="F89" s="34"/>
      <c r="G89" s="9"/>
    </row>
    <row r="90" spans="1:7" x14ac:dyDescent="0.35">
      <c r="A90" s="8"/>
      <c r="B90" s="7">
        <v>100</v>
      </c>
      <c r="C90" s="26" t="str">
        <f>IF(表5_7[[#This Row],[常量键]]="","",90100000+ROW()-4)</f>
        <v/>
      </c>
      <c r="D90" s="34"/>
      <c r="E90" s="34"/>
      <c r="F90" s="34"/>
      <c r="G90" s="9"/>
    </row>
    <row r="91" spans="1:7" x14ac:dyDescent="0.35">
      <c r="A91" s="8"/>
      <c r="B91" s="7">
        <v>100</v>
      </c>
      <c r="C91" s="26" t="str">
        <f>IF(表5_7[[#This Row],[常量键]]="","",90100000+ROW()-4)</f>
        <v/>
      </c>
      <c r="D91" s="34"/>
      <c r="E91" s="34"/>
      <c r="F91" s="34"/>
      <c r="G91" s="9"/>
    </row>
    <row r="92" spans="1:7" x14ac:dyDescent="0.35">
      <c r="A92" s="8"/>
      <c r="B92" s="7">
        <v>100</v>
      </c>
      <c r="C92" s="26" t="str">
        <f>IF(表5_7[[#This Row],[常量键]]="","",90100000+ROW()-4)</f>
        <v/>
      </c>
      <c r="D92" s="34"/>
      <c r="E92" s="34"/>
      <c r="F92" s="34"/>
      <c r="G92" s="9"/>
    </row>
    <row r="93" spans="1:7" x14ac:dyDescent="0.35">
      <c r="A93" s="8"/>
      <c r="B93" s="7">
        <v>100</v>
      </c>
      <c r="C93" s="26" t="str">
        <f>IF(表5_7[[#This Row],[常量键]]="","",90100000+ROW()-4)</f>
        <v/>
      </c>
      <c r="D93" s="34"/>
      <c r="E93" s="34"/>
      <c r="F93" s="34"/>
      <c r="G93" s="9"/>
    </row>
    <row r="94" spans="1:7" x14ac:dyDescent="0.35">
      <c r="A94" s="8"/>
      <c r="B94" s="7">
        <v>100</v>
      </c>
      <c r="C94" s="26" t="str">
        <f>IF(表5_7[[#This Row],[常量键]]="","",90100000+ROW()-4)</f>
        <v/>
      </c>
      <c r="D94" s="34"/>
      <c r="E94" s="34"/>
      <c r="F94" s="34"/>
      <c r="G94" s="9"/>
    </row>
    <row r="95" spans="1:7" x14ac:dyDescent="0.35">
      <c r="A95" s="8"/>
      <c r="B95" s="7">
        <v>100</v>
      </c>
      <c r="C95" s="26" t="str">
        <f>IF(表5_7[[#This Row],[常量键]]="","",90100000+ROW()-4)</f>
        <v/>
      </c>
      <c r="D95" s="34"/>
      <c r="E95" s="34"/>
      <c r="F95" s="34"/>
      <c r="G95" s="9"/>
    </row>
    <row r="96" spans="1:7" x14ac:dyDescent="0.35">
      <c r="A96" s="8"/>
      <c r="B96" s="7">
        <v>100</v>
      </c>
      <c r="C96" s="26" t="str">
        <f>IF(表5_7[[#This Row],[常量键]]="","",90100000+ROW()-4)</f>
        <v/>
      </c>
      <c r="D96" s="34"/>
      <c r="E96" s="34"/>
      <c r="F96" s="34"/>
      <c r="G96" s="9"/>
    </row>
    <row r="97" spans="1:7" x14ac:dyDescent="0.35">
      <c r="A97" s="8"/>
      <c r="B97" s="7">
        <v>100</v>
      </c>
      <c r="C97" s="26" t="str">
        <f>IF(表5_7[[#This Row],[常量键]]="","",90100000+ROW()-4)</f>
        <v/>
      </c>
      <c r="D97" s="34"/>
      <c r="E97" s="34"/>
      <c r="F97" s="34"/>
      <c r="G97" s="9"/>
    </row>
    <row r="98" spans="1:7" x14ac:dyDescent="0.35">
      <c r="A98" s="8"/>
      <c r="B98" s="7">
        <v>100</v>
      </c>
      <c r="C98" s="26" t="str">
        <f>IF(表5_7[[#This Row],[常量键]]="","",90100000+ROW()-4)</f>
        <v/>
      </c>
      <c r="D98" s="34"/>
      <c r="E98" s="34"/>
      <c r="F98" s="34"/>
      <c r="G98" s="9"/>
    </row>
    <row r="99" spans="1:7" x14ac:dyDescent="0.35">
      <c r="A99" s="8"/>
      <c r="B99" s="7">
        <v>100</v>
      </c>
      <c r="C99" s="26" t="str">
        <f>IF(表5_7[[#This Row],[常量键]]="","",90100000+ROW()-4)</f>
        <v/>
      </c>
      <c r="D99" s="34"/>
      <c r="E99" s="34"/>
      <c r="F99" s="34"/>
      <c r="G99" s="9"/>
    </row>
    <row r="100" spans="1:7" x14ac:dyDescent="0.35">
      <c r="A100" s="8"/>
      <c r="B100" s="7">
        <v>100</v>
      </c>
      <c r="C100" s="26" t="str">
        <f>IF(表5_7[[#This Row],[常量键]]="","",90100000+ROW()-4)</f>
        <v/>
      </c>
      <c r="D100" s="34"/>
      <c r="E100" s="34"/>
      <c r="F100" s="34"/>
      <c r="G100" s="9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C869F-20E7-4C55-AEAC-05CCEE9EB0A3}">
  <sheetPr codeName="Sheet4">
    <tabColor rgb="FFC00000"/>
  </sheetPr>
  <dimension ref="A1:J306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4" width="15.625" style="10" customWidth="1"/>
    <col min="5" max="5" width="30.625" style="10" customWidth="1"/>
    <col min="6" max="8" width="15.625" style="10" customWidth="1"/>
    <col min="9" max="9" width="30.625" style="10" customWidth="1"/>
    <col min="10" max="10" width="50.625" style="10" customWidth="1"/>
    <col min="11" max="16384" width="10.625" style="10"/>
  </cols>
  <sheetData>
    <row r="1" spans="1:10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40</v>
      </c>
      <c r="F1" s="5" t="s">
        <v>38</v>
      </c>
      <c r="G1" s="5" t="s">
        <v>40</v>
      </c>
      <c r="H1" s="5" t="s">
        <v>40</v>
      </c>
      <c r="I1" s="5" t="s">
        <v>40</v>
      </c>
      <c r="J1" s="6" t="s">
        <v>74</v>
      </c>
    </row>
    <row r="2" spans="1:10" x14ac:dyDescent="0.35">
      <c r="A2" s="12" t="s">
        <v>2871</v>
      </c>
      <c r="B2" s="1" t="s">
        <v>30</v>
      </c>
      <c r="C2" s="2" t="s">
        <v>33</v>
      </c>
      <c r="D2" s="2" t="s">
        <v>147</v>
      </c>
      <c r="E2" s="2" t="s">
        <v>138</v>
      </c>
      <c r="F2" s="2" t="s">
        <v>1500</v>
      </c>
      <c r="G2" s="2" t="s">
        <v>1502</v>
      </c>
      <c r="H2" s="2" t="s">
        <v>1503</v>
      </c>
      <c r="I2" s="2" t="s">
        <v>1504</v>
      </c>
      <c r="J2" s="3" t="s">
        <v>74</v>
      </c>
    </row>
    <row r="3" spans="1:10" x14ac:dyDescent="0.35">
      <c r="A3" s="24" t="s">
        <v>9</v>
      </c>
      <c r="B3" s="25" t="s">
        <v>31</v>
      </c>
      <c r="C3" s="26" t="s">
        <v>148</v>
      </c>
      <c r="D3" s="26" t="s">
        <v>149</v>
      </c>
      <c r="E3" s="26" t="s">
        <v>150</v>
      </c>
      <c r="F3" s="26" t="s">
        <v>151</v>
      </c>
      <c r="G3" s="26" t="s">
        <v>152</v>
      </c>
      <c r="H3" s="26" t="s">
        <v>153</v>
      </c>
      <c r="I3" s="26" t="s">
        <v>154</v>
      </c>
      <c r="J3" s="25" t="s">
        <v>80</v>
      </c>
    </row>
    <row r="4" spans="1:10" x14ac:dyDescent="0.35">
      <c r="A4" s="27" t="s">
        <v>104</v>
      </c>
      <c r="B4" s="27"/>
      <c r="C4" s="27" t="s">
        <v>155</v>
      </c>
      <c r="D4" s="27" t="s">
        <v>156</v>
      </c>
      <c r="E4" s="44" t="s">
        <v>157</v>
      </c>
      <c r="F4" s="27" t="s">
        <v>158</v>
      </c>
      <c r="G4" s="30" t="s">
        <v>152</v>
      </c>
      <c r="H4" s="30" t="s">
        <v>153</v>
      </c>
      <c r="I4" s="30" t="s">
        <v>154</v>
      </c>
      <c r="J4" s="27" t="s">
        <v>128</v>
      </c>
    </row>
    <row r="5" spans="1:10" x14ac:dyDescent="0.35">
      <c r="A5" s="8"/>
      <c r="B5" s="26">
        <v>100</v>
      </c>
      <c r="C5" s="26">
        <f>IF(表5_710[[#This Row],[字典键]]="","",90200000+ROW()-4)</f>
        <v>90200001</v>
      </c>
      <c r="D5" s="7" t="s">
        <v>2056</v>
      </c>
      <c r="E5" s="49" t="s">
        <v>2054</v>
      </c>
      <c r="F5" s="7">
        <v>1</v>
      </c>
      <c r="G5" s="32" t="s">
        <v>2053</v>
      </c>
      <c r="H5" s="32" t="s">
        <v>2063</v>
      </c>
      <c r="I5" s="34" t="s">
        <v>2055</v>
      </c>
      <c r="J5" s="8"/>
    </row>
    <row r="6" spans="1:10" x14ac:dyDescent="0.35">
      <c r="A6" s="8"/>
      <c r="B6" s="26">
        <v>100</v>
      </c>
      <c r="C6" s="26">
        <f>IF(表5_710[[#This Row],[字典键]]="","",90200000+ROW()-4)</f>
        <v>90200002</v>
      </c>
      <c r="D6" s="7"/>
      <c r="E6" s="49" t="s">
        <v>1420</v>
      </c>
      <c r="F6" s="7">
        <v>0</v>
      </c>
      <c r="G6" s="32" t="s">
        <v>1664</v>
      </c>
      <c r="H6" s="32" t="s">
        <v>3306</v>
      </c>
      <c r="I6" s="34" t="s">
        <v>3505</v>
      </c>
      <c r="J6" s="8"/>
    </row>
    <row r="7" spans="1:10" x14ac:dyDescent="0.35">
      <c r="A7" s="8"/>
      <c r="B7" s="26">
        <v>100</v>
      </c>
      <c r="C7" s="26">
        <f>IF(表5_710[[#This Row],[字典键]]="","",90200000+ROW()-4)</f>
        <v>90200003</v>
      </c>
      <c r="D7" s="7"/>
      <c r="E7" s="49" t="s">
        <v>1420</v>
      </c>
      <c r="F7" s="7">
        <v>1</v>
      </c>
      <c r="G7" s="32" t="s">
        <v>1421</v>
      </c>
      <c r="H7" s="32"/>
      <c r="I7" s="34"/>
      <c r="J7" s="8"/>
    </row>
    <row r="8" spans="1:10" x14ac:dyDescent="0.35">
      <c r="A8" s="8"/>
      <c r="B8" s="26">
        <v>100</v>
      </c>
      <c r="C8" s="26">
        <f>IF(表5_710[[#This Row],[字典键]]="","",90200000+ROW()-4)</f>
        <v>90200004</v>
      </c>
      <c r="D8" s="7"/>
      <c r="E8" s="49" t="s">
        <v>1420</v>
      </c>
      <c r="F8" s="7">
        <v>2</v>
      </c>
      <c r="G8" s="32" t="s">
        <v>1422</v>
      </c>
      <c r="H8" s="32"/>
      <c r="I8" s="34"/>
      <c r="J8" s="8"/>
    </row>
    <row r="9" spans="1:10" x14ac:dyDescent="0.35">
      <c r="A9" s="8"/>
      <c r="B9" s="26">
        <v>100</v>
      </c>
      <c r="C9" s="26">
        <f>IF(表5_710[[#This Row],[字典键]]="","",90200000+ROW()-4)</f>
        <v>90200005</v>
      </c>
      <c r="D9" s="7"/>
      <c r="E9" s="49" t="s">
        <v>1420</v>
      </c>
      <c r="F9" s="7">
        <v>3</v>
      </c>
      <c r="G9" s="32" t="s">
        <v>1423</v>
      </c>
      <c r="H9" s="32"/>
      <c r="I9" s="34"/>
      <c r="J9" s="8"/>
    </row>
    <row r="10" spans="1:10" x14ac:dyDescent="0.35">
      <c r="A10" s="8"/>
      <c r="B10" s="26">
        <v>100</v>
      </c>
      <c r="C10" s="26">
        <f>IF(表5_710[[#This Row],[字典键]]="","",90200000+ROW()-4)</f>
        <v>90200006</v>
      </c>
      <c r="D10" s="7" t="s">
        <v>2669</v>
      </c>
      <c r="E10" s="49" t="s">
        <v>2625</v>
      </c>
      <c r="F10" s="7">
        <v>1</v>
      </c>
      <c r="G10" s="32" t="s">
        <v>2627</v>
      </c>
      <c r="H10" s="32"/>
      <c r="I10" s="34"/>
      <c r="J10" s="8"/>
    </row>
    <row r="11" spans="1:10" x14ac:dyDescent="0.35">
      <c r="A11" s="8"/>
      <c r="B11" s="26">
        <v>100</v>
      </c>
      <c r="C11" s="26">
        <f>IF(表5_710[[#This Row],[字典键]]="","",90200000+ROW()-4)</f>
        <v>90200007</v>
      </c>
      <c r="D11" s="7" t="s">
        <v>2669</v>
      </c>
      <c r="E11" s="49" t="s">
        <v>2625</v>
      </c>
      <c r="F11" s="7">
        <v>2</v>
      </c>
      <c r="G11" s="32" t="s">
        <v>2628</v>
      </c>
      <c r="H11" s="32"/>
      <c r="I11" s="34"/>
      <c r="J11" s="8"/>
    </row>
    <row r="12" spans="1:10" x14ac:dyDescent="0.35">
      <c r="A12" s="8"/>
      <c r="B12" s="26">
        <v>100</v>
      </c>
      <c r="C12" s="26">
        <f>IF(表5_710[[#This Row],[字典键]]="","",90200000+ROW()-4)</f>
        <v>90200008</v>
      </c>
      <c r="D12" s="7" t="s">
        <v>2669</v>
      </c>
      <c r="E12" s="49" t="s">
        <v>2625</v>
      </c>
      <c r="F12" s="7">
        <v>3</v>
      </c>
      <c r="G12" s="32" t="s">
        <v>2629</v>
      </c>
      <c r="H12" s="32"/>
      <c r="I12" s="34"/>
      <c r="J12" s="8"/>
    </row>
    <row r="13" spans="1:10" x14ac:dyDescent="0.35">
      <c r="A13" s="8"/>
      <c r="B13" s="26">
        <v>100</v>
      </c>
      <c r="C13" s="26">
        <f>IF(表5_710[[#This Row],[字典键]]="","",90200000+ROW()-4)</f>
        <v>90200009</v>
      </c>
      <c r="D13" s="7" t="s">
        <v>2670</v>
      </c>
      <c r="E13" s="49" t="s">
        <v>2625</v>
      </c>
      <c r="F13" s="7">
        <v>4</v>
      </c>
      <c r="G13" s="32" t="s">
        <v>2630</v>
      </c>
      <c r="H13" s="32"/>
      <c r="I13" s="34"/>
      <c r="J13" s="8"/>
    </row>
    <row r="14" spans="1:10" x14ac:dyDescent="0.35">
      <c r="A14" s="8"/>
      <c r="B14" s="26">
        <v>100</v>
      </c>
      <c r="C14" s="26">
        <f>IF(表5_710[[#This Row],[字典键]]="","",90200000+ROW()-4)</f>
        <v>90200010</v>
      </c>
      <c r="D14" s="7" t="s">
        <v>2670</v>
      </c>
      <c r="E14" s="49" t="s">
        <v>2625</v>
      </c>
      <c r="F14" s="7">
        <v>5</v>
      </c>
      <c r="G14" s="32" t="s">
        <v>2631</v>
      </c>
      <c r="H14" s="32"/>
      <c r="I14" s="34"/>
      <c r="J14" s="8"/>
    </row>
    <row r="15" spans="1:10" x14ac:dyDescent="0.35">
      <c r="A15" s="8"/>
      <c r="B15" s="26">
        <v>100</v>
      </c>
      <c r="C15" s="26">
        <f>IF(表5_710[[#This Row],[字典键]]="","",90200000+ROW()-4)</f>
        <v>90200011</v>
      </c>
      <c r="D15" s="7" t="s">
        <v>2670</v>
      </c>
      <c r="E15" s="49" t="s">
        <v>2625</v>
      </c>
      <c r="F15" s="7">
        <v>6</v>
      </c>
      <c r="G15" s="32" t="s">
        <v>2632</v>
      </c>
      <c r="H15" s="32"/>
      <c r="I15" s="34"/>
      <c r="J15" s="8"/>
    </row>
    <row r="16" spans="1:10" x14ac:dyDescent="0.35">
      <c r="A16" s="8"/>
      <c r="B16" s="26">
        <v>100</v>
      </c>
      <c r="C16" s="26">
        <f>IF(表5_710[[#This Row],[字典键]]="","",90200000+ROW()-4)</f>
        <v>90200012</v>
      </c>
      <c r="D16" s="7" t="s">
        <v>2671</v>
      </c>
      <c r="E16" s="49" t="s">
        <v>2625</v>
      </c>
      <c r="F16" s="7">
        <v>7</v>
      </c>
      <c r="G16" s="32" t="s">
        <v>2633</v>
      </c>
      <c r="H16" s="32"/>
      <c r="I16" s="34"/>
      <c r="J16" s="8"/>
    </row>
    <row r="17" spans="1:10" x14ac:dyDescent="0.35">
      <c r="A17" s="8"/>
      <c r="B17" s="26">
        <v>100</v>
      </c>
      <c r="C17" s="26">
        <f>IF(表5_710[[#This Row],[字典键]]="","",90200000+ROW()-4)</f>
        <v>90200013</v>
      </c>
      <c r="D17" s="7" t="s">
        <v>2671</v>
      </c>
      <c r="E17" s="49" t="s">
        <v>2625</v>
      </c>
      <c r="F17" s="7">
        <v>8</v>
      </c>
      <c r="G17" s="32" t="s">
        <v>2634</v>
      </c>
      <c r="H17" s="32"/>
      <c r="I17" s="34"/>
      <c r="J17" s="8"/>
    </row>
    <row r="18" spans="1:10" x14ac:dyDescent="0.35">
      <c r="A18" s="8"/>
      <c r="B18" s="26">
        <v>100</v>
      </c>
      <c r="C18" s="26">
        <f>IF(表5_710[[#This Row],[字典键]]="","",90200000+ROW()-4)</f>
        <v>90200014</v>
      </c>
      <c r="D18" s="7" t="s">
        <v>2671</v>
      </c>
      <c r="E18" s="49" t="s">
        <v>2625</v>
      </c>
      <c r="F18" s="7">
        <v>9</v>
      </c>
      <c r="G18" s="32" t="s">
        <v>2635</v>
      </c>
      <c r="H18" s="32"/>
      <c r="I18" s="34"/>
      <c r="J18" s="8"/>
    </row>
    <row r="19" spans="1:10" x14ac:dyDescent="0.35">
      <c r="A19" s="8"/>
      <c r="B19" s="26">
        <v>100</v>
      </c>
      <c r="C19" s="26">
        <f>IF(表5_710[[#This Row],[字典键]]="","",90200000+ROW()-4)</f>
        <v>90200015</v>
      </c>
      <c r="D19" s="7" t="s">
        <v>2672</v>
      </c>
      <c r="E19" s="49" t="s">
        <v>2625</v>
      </c>
      <c r="F19" s="7">
        <v>10</v>
      </c>
      <c r="G19" s="32" t="s">
        <v>2636</v>
      </c>
      <c r="H19" s="32"/>
      <c r="I19" s="34"/>
      <c r="J19" s="8"/>
    </row>
    <row r="20" spans="1:10" x14ac:dyDescent="0.35">
      <c r="A20" s="8"/>
      <c r="B20" s="26">
        <v>100</v>
      </c>
      <c r="C20" s="26">
        <f>IF(表5_710[[#This Row],[字典键]]="","",90200000+ROW()-4)</f>
        <v>90200016</v>
      </c>
      <c r="D20" s="7" t="s">
        <v>2672</v>
      </c>
      <c r="E20" s="49" t="s">
        <v>2625</v>
      </c>
      <c r="F20" s="7">
        <v>11</v>
      </c>
      <c r="G20" s="32" t="s">
        <v>2637</v>
      </c>
      <c r="H20" s="32"/>
      <c r="I20" s="34"/>
      <c r="J20" s="8"/>
    </row>
    <row r="21" spans="1:10" x14ac:dyDescent="0.35">
      <c r="A21" s="8"/>
      <c r="B21" s="26">
        <v>100</v>
      </c>
      <c r="C21" s="26">
        <f>IF(表5_710[[#This Row],[字典键]]="","",90200000+ROW()-4)</f>
        <v>90200017</v>
      </c>
      <c r="D21" s="7" t="s">
        <v>2672</v>
      </c>
      <c r="E21" s="49" t="s">
        <v>2625</v>
      </c>
      <c r="F21" s="7">
        <v>12</v>
      </c>
      <c r="G21" s="32" t="s">
        <v>2638</v>
      </c>
      <c r="H21" s="32"/>
      <c r="I21" s="34"/>
      <c r="J21" s="8"/>
    </row>
    <row r="22" spans="1:10" x14ac:dyDescent="0.35">
      <c r="A22" s="8"/>
      <c r="B22" s="26">
        <v>100</v>
      </c>
      <c r="C22" s="26">
        <f>IF(表5_710[[#This Row],[字典键]]="","",90200000+ROW()-4)</f>
        <v>90200018</v>
      </c>
      <c r="D22" s="7"/>
      <c r="E22" s="49" t="s">
        <v>2626</v>
      </c>
      <c r="F22" s="7">
        <v>1</v>
      </c>
      <c r="G22" s="32" t="s">
        <v>2639</v>
      </c>
      <c r="H22" s="32"/>
      <c r="I22" s="34"/>
      <c r="J22" s="8"/>
    </row>
    <row r="23" spans="1:10" x14ac:dyDescent="0.35">
      <c r="A23" s="8"/>
      <c r="B23" s="26">
        <v>100</v>
      </c>
      <c r="C23" s="26">
        <f>IF(表5_710[[#This Row],[字典键]]="","",90200000+ROW()-4)</f>
        <v>90200019</v>
      </c>
      <c r="D23" s="7"/>
      <c r="E23" s="49" t="s">
        <v>2626</v>
      </c>
      <c r="F23" s="7">
        <v>2</v>
      </c>
      <c r="G23" s="32" t="s">
        <v>2640</v>
      </c>
      <c r="H23" s="32"/>
      <c r="I23" s="34"/>
      <c r="J23" s="8"/>
    </row>
    <row r="24" spans="1:10" x14ac:dyDescent="0.35">
      <c r="A24" s="8"/>
      <c r="B24" s="26">
        <v>100</v>
      </c>
      <c r="C24" s="26">
        <f>IF(表5_710[[#This Row],[字典键]]="","",90200000+ROW()-4)</f>
        <v>90200020</v>
      </c>
      <c r="D24" s="7"/>
      <c r="E24" s="49" t="s">
        <v>2626</v>
      </c>
      <c r="F24" s="7">
        <v>3</v>
      </c>
      <c r="G24" s="32" t="s">
        <v>2641</v>
      </c>
      <c r="H24" s="32"/>
      <c r="I24" s="34"/>
      <c r="J24" s="8"/>
    </row>
    <row r="25" spans="1:10" x14ac:dyDescent="0.35">
      <c r="A25" s="8"/>
      <c r="B25" s="26">
        <v>100</v>
      </c>
      <c r="C25" s="26">
        <f>IF(表5_710[[#This Row],[字典键]]="","",90200000+ROW()-4)</f>
        <v>90200021</v>
      </c>
      <c r="D25" s="7"/>
      <c r="E25" s="49" t="s">
        <v>2626</v>
      </c>
      <c r="F25" s="7">
        <v>4</v>
      </c>
      <c r="G25" s="32" t="s">
        <v>2642</v>
      </c>
      <c r="H25" s="32"/>
      <c r="I25" s="34"/>
      <c r="J25" s="8"/>
    </row>
    <row r="26" spans="1:10" x14ac:dyDescent="0.35">
      <c r="A26" s="8"/>
      <c r="B26" s="26">
        <v>100</v>
      </c>
      <c r="C26" s="26">
        <f>IF(表5_710[[#This Row],[字典键]]="","",90200000+ROW()-4)</f>
        <v>90200022</v>
      </c>
      <c r="D26" s="7"/>
      <c r="E26" s="49" t="s">
        <v>2626</v>
      </c>
      <c r="F26" s="7">
        <v>5</v>
      </c>
      <c r="G26" s="32" t="s">
        <v>2643</v>
      </c>
      <c r="H26" s="32"/>
      <c r="I26" s="34"/>
      <c r="J26" s="8"/>
    </row>
    <row r="27" spans="1:10" x14ac:dyDescent="0.35">
      <c r="A27" s="8"/>
      <c r="B27" s="26">
        <v>100</v>
      </c>
      <c r="C27" s="26">
        <f>IF(表5_710[[#This Row],[字典键]]="","",90200000+ROW()-4)</f>
        <v>90200023</v>
      </c>
      <c r="D27" s="7"/>
      <c r="E27" s="49" t="s">
        <v>2626</v>
      </c>
      <c r="F27" s="7">
        <v>6</v>
      </c>
      <c r="G27" s="32" t="s">
        <v>2644</v>
      </c>
      <c r="H27" s="32"/>
      <c r="I27" s="34"/>
      <c r="J27" s="8"/>
    </row>
    <row r="28" spans="1:10" x14ac:dyDescent="0.35">
      <c r="A28" s="8"/>
      <c r="B28" s="26">
        <v>100</v>
      </c>
      <c r="C28" s="26">
        <f>IF(表5_710[[#This Row],[字典键]]="","",90200000+ROW()-4)</f>
        <v>90200024</v>
      </c>
      <c r="D28" s="7"/>
      <c r="E28" s="49" t="s">
        <v>2626</v>
      </c>
      <c r="F28" s="7">
        <v>7</v>
      </c>
      <c r="G28" s="32" t="s">
        <v>2645</v>
      </c>
      <c r="H28" s="32"/>
      <c r="I28" s="34"/>
      <c r="J28" s="8"/>
    </row>
    <row r="29" spans="1:10" x14ac:dyDescent="0.35">
      <c r="A29" s="8"/>
      <c r="B29" s="26">
        <v>100</v>
      </c>
      <c r="C29" s="26">
        <f>IF(表5_710[[#This Row],[字典键]]="","",90200000+ROW()-4)</f>
        <v>90200025</v>
      </c>
      <c r="D29" s="7"/>
      <c r="E29" s="49" t="s">
        <v>2626</v>
      </c>
      <c r="F29" s="7">
        <v>8</v>
      </c>
      <c r="G29" s="32" t="s">
        <v>2646</v>
      </c>
      <c r="H29" s="32"/>
      <c r="I29" s="34"/>
      <c r="J29" s="8"/>
    </row>
    <row r="30" spans="1:10" x14ac:dyDescent="0.35">
      <c r="A30" s="8"/>
      <c r="B30" s="26">
        <v>100</v>
      </c>
      <c r="C30" s="26">
        <f>IF(表5_710[[#This Row],[字典键]]="","",90200000+ROW()-4)</f>
        <v>90200026</v>
      </c>
      <c r="D30" s="7"/>
      <c r="E30" s="49" t="s">
        <v>2626</v>
      </c>
      <c r="F30" s="7">
        <v>9</v>
      </c>
      <c r="G30" s="32" t="s">
        <v>2647</v>
      </c>
      <c r="H30" s="32"/>
      <c r="I30" s="34"/>
      <c r="J30" s="8"/>
    </row>
    <row r="31" spans="1:10" x14ac:dyDescent="0.35">
      <c r="A31" s="8"/>
      <c r="B31" s="26">
        <v>100</v>
      </c>
      <c r="C31" s="26">
        <f>IF(表5_710[[#This Row],[字典键]]="","",90200000+ROW()-4)</f>
        <v>90200027</v>
      </c>
      <c r="D31" s="7"/>
      <c r="E31" s="49" t="s">
        <v>2626</v>
      </c>
      <c r="F31" s="7">
        <v>10</v>
      </c>
      <c r="G31" s="32" t="s">
        <v>2648</v>
      </c>
      <c r="H31" s="32"/>
      <c r="I31" s="34"/>
      <c r="J31" s="8"/>
    </row>
    <row r="32" spans="1:10" x14ac:dyDescent="0.35">
      <c r="A32" s="8"/>
      <c r="B32" s="26">
        <v>100</v>
      </c>
      <c r="C32" s="26">
        <f>IF(表5_710[[#This Row],[字典键]]="","",90200000+ROW()-4)</f>
        <v>90200028</v>
      </c>
      <c r="D32" s="7"/>
      <c r="E32" s="49" t="s">
        <v>2626</v>
      </c>
      <c r="F32" s="7">
        <v>11</v>
      </c>
      <c r="G32" s="32" t="s">
        <v>2649</v>
      </c>
      <c r="H32" s="32"/>
      <c r="I32" s="34"/>
      <c r="J32" s="8"/>
    </row>
    <row r="33" spans="1:10" x14ac:dyDescent="0.35">
      <c r="A33" s="8"/>
      <c r="B33" s="26">
        <v>100</v>
      </c>
      <c r="C33" s="26">
        <f>IF(表5_710[[#This Row],[字典键]]="","",90200000+ROW()-4)</f>
        <v>90200029</v>
      </c>
      <c r="D33" s="7"/>
      <c r="E33" s="49" t="s">
        <v>2626</v>
      </c>
      <c r="F33" s="7">
        <v>12</v>
      </c>
      <c r="G33" s="32" t="s">
        <v>2650</v>
      </c>
      <c r="H33" s="32"/>
      <c r="I33" s="34"/>
      <c r="J33" s="8"/>
    </row>
    <row r="34" spans="1:10" x14ac:dyDescent="0.35">
      <c r="A34" s="8"/>
      <c r="B34" s="26">
        <v>100</v>
      </c>
      <c r="C34" s="26">
        <f>IF(表5_710[[#This Row],[字典键]]="","",90200000+ROW()-4)</f>
        <v>90200030</v>
      </c>
      <c r="D34" s="7"/>
      <c r="E34" s="49" t="s">
        <v>2626</v>
      </c>
      <c r="F34" s="7">
        <v>13</v>
      </c>
      <c r="G34" s="32" t="s">
        <v>2651</v>
      </c>
      <c r="H34" s="32"/>
      <c r="I34" s="34"/>
      <c r="J34" s="8"/>
    </row>
    <row r="35" spans="1:10" x14ac:dyDescent="0.35">
      <c r="A35" s="8"/>
      <c r="B35" s="26">
        <v>100</v>
      </c>
      <c r="C35" s="26">
        <f>IF(表5_710[[#This Row],[字典键]]="","",90200000+ROW()-4)</f>
        <v>90200031</v>
      </c>
      <c r="D35" s="7"/>
      <c r="E35" s="49" t="s">
        <v>2626</v>
      </c>
      <c r="F35" s="7">
        <v>14</v>
      </c>
      <c r="G35" s="32" t="s">
        <v>2652</v>
      </c>
      <c r="H35" s="32"/>
      <c r="I35" s="34"/>
      <c r="J35" s="8"/>
    </row>
    <row r="36" spans="1:10" x14ac:dyDescent="0.35">
      <c r="A36" s="8"/>
      <c r="B36" s="26">
        <v>100</v>
      </c>
      <c r="C36" s="26">
        <f>IF(表5_710[[#This Row],[字典键]]="","",90200000+ROW()-4)</f>
        <v>90200032</v>
      </c>
      <c r="D36" s="7"/>
      <c r="E36" s="49" t="s">
        <v>2626</v>
      </c>
      <c r="F36" s="7">
        <v>15</v>
      </c>
      <c r="G36" s="32" t="s">
        <v>2653</v>
      </c>
      <c r="H36" s="32"/>
      <c r="I36" s="34"/>
      <c r="J36" s="8"/>
    </row>
    <row r="37" spans="1:10" x14ac:dyDescent="0.35">
      <c r="A37" s="8"/>
      <c r="B37" s="26">
        <v>100</v>
      </c>
      <c r="C37" s="26">
        <f>IF(表5_710[[#This Row],[字典键]]="","",90200000+ROW()-4)</f>
        <v>90200033</v>
      </c>
      <c r="D37" s="7"/>
      <c r="E37" s="49" t="s">
        <v>2626</v>
      </c>
      <c r="F37" s="7">
        <v>16</v>
      </c>
      <c r="G37" s="32" t="s">
        <v>2654</v>
      </c>
      <c r="H37" s="32"/>
      <c r="I37" s="34"/>
      <c r="J37" s="8"/>
    </row>
    <row r="38" spans="1:10" x14ac:dyDescent="0.35">
      <c r="A38" s="8"/>
      <c r="B38" s="26">
        <v>100</v>
      </c>
      <c r="C38" s="26">
        <f>IF(表5_710[[#This Row],[字典键]]="","",90200000+ROW()-4)</f>
        <v>90200034</v>
      </c>
      <c r="D38" s="7"/>
      <c r="E38" s="49" t="s">
        <v>2626</v>
      </c>
      <c r="F38" s="7">
        <v>17</v>
      </c>
      <c r="G38" s="32" t="s">
        <v>2655</v>
      </c>
      <c r="H38" s="32"/>
      <c r="I38" s="34"/>
      <c r="J38" s="8"/>
    </row>
    <row r="39" spans="1:10" x14ac:dyDescent="0.35">
      <c r="A39" s="8"/>
      <c r="B39" s="26">
        <v>100</v>
      </c>
      <c r="C39" s="26">
        <f>IF(表5_710[[#This Row],[字典键]]="","",90200000+ROW()-4)</f>
        <v>90200035</v>
      </c>
      <c r="D39" s="7"/>
      <c r="E39" s="49" t="s">
        <v>2626</v>
      </c>
      <c r="F39" s="7">
        <v>18</v>
      </c>
      <c r="G39" s="32" t="s">
        <v>2656</v>
      </c>
      <c r="H39" s="32"/>
      <c r="I39" s="34"/>
      <c r="J39" s="8"/>
    </row>
    <row r="40" spans="1:10" x14ac:dyDescent="0.35">
      <c r="A40" s="8"/>
      <c r="B40" s="26">
        <v>100</v>
      </c>
      <c r="C40" s="26">
        <f>IF(表5_710[[#This Row],[字典键]]="","",90200000+ROW()-4)</f>
        <v>90200036</v>
      </c>
      <c r="D40" s="7"/>
      <c r="E40" s="49" t="s">
        <v>2626</v>
      </c>
      <c r="F40" s="7">
        <v>19</v>
      </c>
      <c r="G40" s="32" t="s">
        <v>2657</v>
      </c>
      <c r="H40" s="32"/>
      <c r="I40" s="34"/>
      <c r="J40" s="8"/>
    </row>
    <row r="41" spans="1:10" x14ac:dyDescent="0.35">
      <c r="A41" s="8"/>
      <c r="B41" s="26">
        <v>100</v>
      </c>
      <c r="C41" s="26">
        <f>IF(表5_710[[#This Row],[字典键]]="","",90200000+ROW()-4)</f>
        <v>90200037</v>
      </c>
      <c r="D41" s="7"/>
      <c r="E41" s="49" t="s">
        <v>2626</v>
      </c>
      <c r="F41" s="7">
        <v>20</v>
      </c>
      <c r="G41" s="32" t="s">
        <v>2658</v>
      </c>
      <c r="H41" s="32"/>
      <c r="I41" s="34"/>
      <c r="J41" s="8"/>
    </row>
    <row r="42" spans="1:10" x14ac:dyDescent="0.35">
      <c r="A42" s="8"/>
      <c r="B42" s="26">
        <v>100</v>
      </c>
      <c r="C42" s="26">
        <f>IF(表5_710[[#This Row],[字典键]]="","",90200000+ROW()-4)</f>
        <v>90200038</v>
      </c>
      <c r="D42" s="7"/>
      <c r="E42" s="49" t="s">
        <v>2626</v>
      </c>
      <c r="F42" s="7">
        <v>21</v>
      </c>
      <c r="G42" s="32" t="s">
        <v>2659</v>
      </c>
      <c r="H42" s="32"/>
      <c r="I42" s="34"/>
      <c r="J42" s="8"/>
    </row>
    <row r="43" spans="1:10" x14ac:dyDescent="0.35">
      <c r="A43" s="8"/>
      <c r="B43" s="26">
        <v>100</v>
      </c>
      <c r="C43" s="26">
        <f>IF(表5_710[[#This Row],[字典键]]="","",90200000+ROW()-4)</f>
        <v>90200039</v>
      </c>
      <c r="D43" s="7"/>
      <c r="E43" s="49" t="s">
        <v>2626</v>
      </c>
      <c r="F43" s="7">
        <v>22</v>
      </c>
      <c r="G43" s="32" t="s">
        <v>2660</v>
      </c>
      <c r="H43" s="32"/>
      <c r="I43" s="34"/>
      <c r="J43" s="8"/>
    </row>
    <row r="44" spans="1:10" x14ac:dyDescent="0.35">
      <c r="A44" s="8"/>
      <c r="B44" s="26">
        <v>100</v>
      </c>
      <c r="C44" s="26">
        <f>IF(表5_710[[#This Row],[字典键]]="","",90200000+ROW()-4)</f>
        <v>90200040</v>
      </c>
      <c r="D44" s="7"/>
      <c r="E44" s="49" t="s">
        <v>2626</v>
      </c>
      <c r="F44" s="7">
        <v>23</v>
      </c>
      <c r="G44" s="32" t="s">
        <v>2661</v>
      </c>
      <c r="H44" s="32"/>
      <c r="I44" s="34"/>
      <c r="J44" s="8"/>
    </row>
    <row r="45" spans="1:10" x14ac:dyDescent="0.35">
      <c r="A45" s="8"/>
      <c r="B45" s="26">
        <v>100</v>
      </c>
      <c r="C45" s="26">
        <f>IF(表5_710[[#This Row],[字典键]]="","",90200000+ROW()-4)</f>
        <v>90200041</v>
      </c>
      <c r="D45" s="7"/>
      <c r="E45" s="49" t="s">
        <v>2626</v>
      </c>
      <c r="F45" s="7">
        <v>24</v>
      </c>
      <c r="G45" s="32" t="s">
        <v>2662</v>
      </c>
      <c r="H45" s="32"/>
      <c r="I45" s="34"/>
      <c r="J45" s="8"/>
    </row>
    <row r="46" spans="1:10" x14ac:dyDescent="0.35">
      <c r="A46" s="8"/>
      <c r="B46" s="26">
        <v>100</v>
      </c>
      <c r="C46" s="26">
        <f>IF(表5_710[[#This Row],[字典键]]="","",90200000+ROW()-4)</f>
        <v>90200042</v>
      </c>
      <c r="D46" s="7"/>
      <c r="E46" s="49" t="s">
        <v>2626</v>
      </c>
      <c r="F46" s="7">
        <v>25</v>
      </c>
      <c r="G46" s="32" t="s">
        <v>2663</v>
      </c>
      <c r="H46" s="32"/>
      <c r="I46" s="34"/>
      <c r="J46" s="8"/>
    </row>
    <row r="47" spans="1:10" x14ac:dyDescent="0.35">
      <c r="A47" s="8"/>
      <c r="B47" s="26">
        <v>100</v>
      </c>
      <c r="C47" s="26">
        <f>IF(表5_710[[#This Row],[字典键]]="","",90200000+ROW()-4)</f>
        <v>90200043</v>
      </c>
      <c r="D47" s="7"/>
      <c r="E47" s="49" t="s">
        <v>2626</v>
      </c>
      <c r="F47" s="7">
        <v>26</v>
      </c>
      <c r="G47" s="32" t="s">
        <v>2664</v>
      </c>
      <c r="H47" s="32"/>
      <c r="I47" s="34"/>
      <c r="J47" s="8"/>
    </row>
    <row r="48" spans="1:10" x14ac:dyDescent="0.35">
      <c r="A48" s="8"/>
      <c r="B48" s="26">
        <v>100</v>
      </c>
      <c r="C48" s="26">
        <f>IF(表5_710[[#This Row],[字典键]]="","",90200000+ROW()-4)</f>
        <v>90200044</v>
      </c>
      <c r="D48" s="7"/>
      <c r="E48" s="49" t="s">
        <v>2626</v>
      </c>
      <c r="F48" s="7">
        <v>27</v>
      </c>
      <c r="G48" s="32" t="s">
        <v>2665</v>
      </c>
      <c r="H48" s="32"/>
      <c r="I48" s="34"/>
      <c r="J48" s="8"/>
    </row>
    <row r="49" spans="1:10" x14ac:dyDescent="0.35">
      <c r="A49" s="8"/>
      <c r="B49" s="26">
        <v>100</v>
      </c>
      <c r="C49" s="26">
        <f>IF(表5_710[[#This Row],[字典键]]="","",90200000+ROW()-4)</f>
        <v>90200045</v>
      </c>
      <c r="D49" s="7"/>
      <c r="E49" s="49" t="s">
        <v>2626</v>
      </c>
      <c r="F49" s="7">
        <v>28</v>
      </c>
      <c r="G49" s="32" t="s">
        <v>2666</v>
      </c>
      <c r="H49" s="32"/>
      <c r="I49" s="34"/>
      <c r="J49" s="8"/>
    </row>
    <row r="50" spans="1:10" x14ac:dyDescent="0.35">
      <c r="A50" s="8"/>
      <c r="B50" s="26">
        <v>100</v>
      </c>
      <c r="C50" s="26">
        <f>IF(表5_710[[#This Row],[字典键]]="","",90200000+ROW()-4)</f>
        <v>90200046</v>
      </c>
      <c r="D50" s="7"/>
      <c r="E50" s="49" t="s">
        <v>2626</v>
      </c>
      <c r="F50" s="7">
        <v>29</v>
      </c>
      <c r="G50" s="32" t="s">
        <v>2667</v>
      </c>
      <c r="H50" s="32"/>
      <c r="I50" s="34"/>
      <c r="J50" s="8"/>
    </row>
    <row r="51" spans="1:10" x14ac:dyDescent="0.35">
      <c r="A51" s="8"/>
      <c r="B51" s="26">
        <v>100</v>
      </c>
      <c r="C51" s="26">
        <f>IF(表5_710[[#This Row],[字典键]]="","",90200000+ROW()-4)</f>
        <v>90200047</v>
      </c>
      <c r="D51" s="7"/>
      <c r="E51" s="49" t="s">
        <v>2626</v>
      </c>
      <c r="F51" s="7">
        <v>30</v>
      </c>
      <c r="G51" s="32" t="s">
        <v>2668</v>
      </c>
      <c r="H51" s="32"/>
      <c r="I51" s="34"/>
      <c r="J51" s="8"/>
    </row>
    <row r="52" spans="1:10" x14ac:dyDescent="0.35">
      <c r="A52" s="8"/>
      <c r="B52" s="26">
        <v>100</v>
      </c>
      <c r="C52" s="26">
        <f>IF(表5_710[[#This Row],[字典键]]="","",90200000+ROW()-4)</f>
        <v>90200048</v>
      </c>
      <c r="D52" s="7"/>
      <c r="E52" s="49" t="s">
        <v>3126</v>
      </c>
      <c r="F52" s="7">
        <v>0</v>
      </c>
      <c r="G52" s="32" t="s">
        <v>3127</v>
      </c>
      <c r="H52" s="32"/>
      <c r="I52" s="34"/>
      <c r="J52" s="8"/>
    </row>
    <row r="53" spans="1:10" x14ac:dyDescent="0.35">
      <c r="A53" s="8"/>
      <c r="B53" s="26">
        <v>100</v>
      </c>
      <c r="C53" s="26">
        <f>IF(表5_710[[#This Row],[字典键]]="","",90200000+ROW()-4)</f>
        <v>90200049</v>
      </c>
      <c r="D53" s="7"/>
      <c r="E53" s="49" t="s">
        <v>3126</v>
      </c>
      <c r="F53" s="7">
        <v>1</v>
      </c>
      <c r="G53" s="32" t="s">
        <v>3128</v>
      </c>
      <c r="H53" s="32"/>
      <c r="I53" s="34"/>
      <c r="J53" s="8"/>
    </row>
    <row r="54" spans="1:10" x14ac:dyDescent="0.35">
      <c r="A54" s="8"/>
      <c r="B54" s="26">
        <v>100</v>
      </c>
      <c r="C54" s="26">
        <f>IF(表5_710[[#This Row],[字典键]]="","",90200000+ROW()-4)</f>
        <v>90200050</v>
      </c>
      <c r="D54" s="7"/>
      <c r="E54" s="49" t="s">
        <v>3126</v>
      </c>
      <c r="F54" s="7">
        <v>2</v>
      </c>
      <c r="G54" s="32" t="s">
        <v>3129</v>
      </c>
      <c r="H54" s="32"/>
      <c r="I54" s="34"/>
      <c r="J54" s="8"/>
    </row>
    <row r="55" spans="1:10" x14ac:dyDescent="0.35">
      <c r="A55" s="8"/>
      <c r="B55" s="26">
        <v>100</v>
      </c>
      <c r="C55" s="26">
        <f>IF(表5_710[[#This Row],[字典键]]="","",90200000+ROW()-4)</f>
        <v>90200051</v>
      </c>
      <c r="D55" s="7"/>
      <c r="E55" s="49" t="s">
        <v>3126</v>
      </c>
      <c r="F55" s="7">
        <v>3</v>
      </c>
      <c r="G55" s="32" t="s">
        <v>3130</v>
      </c>
      <c r="H55" s="32"/>
      <c r="I55" s="34"/>
      <c r="J55" s="8"/>
    </row>
    <row r="56" spans="1:10" x14ac:dyDescent="0.35">
      <c r="A56" s="8"/>
      <c r="B56" s="26">
        <v>100</v>
      </c>
      <c r="C56" s="26">
        <f>IF(表5_710[[#This Row],[字典键]]="","",90200000+ROW()-4)</f>
        <v>90200052</v>
      </c>
      <c r="D56" s="7"/>
      <c r="E56" s="49" t="s">
        <v>3126</v>
      </c>
      <c r="F56" s="7">
        <v>4</v>
      </c>
      <c r="G56" s="32" t="s">
        <v>3131</v>
      </c>
      <c r="H56" s="32"/>
      <c r="I56" s="34"/>
      <c r="J56" s="8"/>
    </row>
    <row r="57" spans="1:10" x14ac:dyDescent="0.35">
      <c r="A57" s="8"/>
      <c r="B57" s="26">
        <v>100</v>
      </c>
      <c r="C57" s="26">
        <f>IF(表5_710[[#This Row],[字典键]]="","",90200000+ROW()-4)</f>
        <v>90200053</v>
      </c>
      <c r="D57" s="7"/>
      <c r="E57" s="49" t="s">
        <v>3126</v>
      </c>
      <c r="F57" s="7">
        <v>5</v>
      </c>
      <c r="G57" s="32" t="s">
        <v>3132</v>
      </c>
      <c r="H57" s="32"/>
      <c r="I57" s="34"/>
      <c r="J57" s="8"/>
    </row>
    <row r="58" spans="1:10" x14ac:dyDescent="0.35">
      <c r="A58" s="8"/>
      <c r="B58" s="26">
        <v>100</v>
      </c>
      <c r="C58" s="26">
        <f>IF(表5_710[[#This Row],[字典键]]="","",90200000+ROW()-4)</f>
        <v>90200054</v>
      </c>
      <c r="D58" s="7"/>
      <c r="E58" s="49" t="s">
        <v>3126</v>
      </c>
      <c r="F58" s="7">
        <v>6</v>
      </c>
      <c r="G58" s="32" t="s">
        <v>3133</v>
      </c>
      <c r="H58" s="32"/>
      <c r="I58" s="34"/>
      <c r="J58" s="8"/>
    </row>
    <row r="59" spans="1:10" x14ac:dyDescent="0.35">
      <c r="A59" s="8"/>
      <c r="B59" s="26">
        <v>100</v>
      </c>
      <c r="C59" s="26">
        <f>IF(表5_710[[#This Row],[字典键]]="","",90200000+ROW()-4)</f>
        <v>90200055</v>
      </c>
      <c r="D59" s="7"/>
      <c r="E59" s="49" t="s">
        <v>3126</v>
      </c>
      <c r="F59" s="7">
        <v>7</v>
      </c>
      <c r="G59" s="32" t="s">
        <v>3134</v>
      </c>
      <c r="H59" s="32"/>
      <c r="I59" s="34"/>
      <c r="J59" s="8"/>
    </row>
    <row r="60" spans="1:10" x14ac:dyDescent="0.35">
      <c r="A60" s="8"/>
      <c r="B60" s="26">
        <v>100</v>
      </c>
      <c r="C60" s="26">
        <f>IF(表5_710[[#This Row],[字典键]]="","",90200000+ROW()-4)</f>
        <v>90200056</v>
      </c>
      <c r="D60" s="7"/>
      <c r="E60" s="49" t="s">
        <v>3126</v>
      </c>
      <c r="F60" s="7">
        <v>8</v>
      </c>
      <c r="G60" s="32" t="s">
        <v>3135</v>
      </c>
      <c r="H60" s="32"/>
      <c r="I60" s="34"/>
      <c r="J60" s="8"/>
    </row>
    <row r="61" spans="1:10" x14ac:dyDescent="0.35">
      <c r="A61" s="8"/>
      <c r="B61" s="26">
        <v>100</v>
      </c>
      <c r="C61" s="26">
        <f>IF(表5_710[[#This Row],[字典键]]="","",90200000+ROW()-4)</f>
        <v>90200057</v>
      </c>
      <c r="D61" s="7"/>
      <c r="E61" s="49" t="s">
        <v>3126</v>
      </c>
      <c r="F61" s="7">
        <v>9</v>
      </c>
      <c r="G61" s="32" t="s">
        <v>3136</v>
      </c>
      <c r="H61" s="32"/>
      <c r="I61" s="34"/>
      <c r="J61" s="8"/>
    </row>
    <row r="62" spans="1:10" x14ac:dyDescent="0.35">
      <c r="A62" s="8"/>
      <c r="B62" s="26">
        <v>100</v>
      </c>
      <c r="C62" s="26">
        <f>IF(表5_710[[#This Row],[字典键]]="","",90200000+ROW()-4)</f>
        <v>90200058</v>
      </c>
      <c r="D62" s="7" t="s">
        <v>2045</v>
      </c>
      <c r="E62" s="49" t="s">
        <v>2036</v>
      </c>
      <c r="F62" s="7">
        <v>1</v>
      </c>
      <c r="G62" s="32" t="s">
        <v>2037</v>
      </c>
      <c r="H62" s="32" t="s">
        <v>2041</v>
      </c>
      <c r="I62" s="34" t="s">
        <v>2049</v>
      </c>
      <c r="J62" s="8"/>
    </row>
    <row r="63" spans="1:10" x14ac:dyDescent="0.35">
      <c r="A63" s="8"/>
      <c r="B63" s="26">
        <v>100</v>
      </c>
      <c r="C63" s="26">
        <f>IF(表5_710[[#This Row],[字典键]]="","",90200000+ROW()-4)</f>
        <v>90200059</v>
      </c>
      <c r="D63" s="7" t="s">
        <v>2046</v>
      </c>
      <c r="E63" s="49" t="s">
        <v>2036</v>
      </c>
      <c r="F63" s="7">
        <v>2</v>
      </c>
      <c r="G63" s="32" t="s">
        <v>2038</v>
      </c>
      <c r="H63" s="32" t="s">
        <v>2042</v>
      </c>
      <c r="I63" s="34" t="s">
        <v>2050</v>
      </c>
      <c r="J63" s="8"/>
    </row>
    <row r="64" spans="1:10" x14ac:dyDescent="0.35">
      <c r="A64" s="8"/>
      <c r="B64" s="26">
        <v>100</v>
      </c>
      <c r="C64" s="26">
        <f>IF(表5_710[[#This Row],[字典键]]="","",90200000+ROW()-4)</f>
        <v>90200060</v>
      </c>
      <c r="D64" s="7" t="s">
        <v>2047</v>
      </c>
      <c r="E64" s="49" t="s">
        <v>2036</v>
      </c>
      <c r="F64" s="7">
        <v>3</v>
      </c>
      <c r="G64" s="32" t="s">
        <v>2039</v>
      </c>
      <c r="H64" s="32" t="s">
        <v>2043</v>
      </c>
      <c r="I64" s="34" t="s">
        <v>2051</v>
      </c>
      <c r="J64" s="8"/>
    </row>
    <row r="65" spans="1:10" x14ac:dyDescent="0.35">
      <c r="A65" s="8"/>
      <c r="B65" s="26">
        <v>100</v>
      </c>
      <c r="C65" s="26">
        <f>IF(表5_710[[#This Row],[字典键]]="","",90200000+ROW()-4)</f>
        <v>90200061</v>
      </c>
      <c r="D65" s="7" t="s">
        <v>2048</v>
      </c>
      <c r="E65" s="49" t="s">
        <v>2036</v>
      </c>
      <c r="F65" s="7">
        <v>4</v>
      </c>
      <c r="G65" s="32" t="s">
        <v>2040</v>
      </c>
      <c r="H65" s="32" t="s">
        <v>2044</v>
      </c>
      <c r="I65" s="34" t="s">
        <v>2052</v>
      </c>
      <c r="J65" s="8"/>
    </row>
    <row r="66" spans="1:10" x14ac:dyDescent="0.35">
      <c r="A66" s="8"/>
      <c r="B66" s="26">
        <v>100</v>
      </c>
      <c r="C66" s="26">
        <f>IF(表5_710[[#This Row],[字典键]]="","",90200000+ROW()-4)</f>
        <v>90200062</v>
      </c>
      <c r="D66" s="7" t="s">
        <v>1870</v>
      </c>
      <c r="E66" s="49" t="s">
        <v>1861</v>
      </c>
      <c r="F66" s="7">
        <v>1</v>
      </c>
      <c r="G66" s="32" t="s">
        <v>1864</v>
      </c>
      <c r="H66" s="32"/>
      <c r="I66" s="34" t="s">
        <v>1867</v>
      </c>
      <c r="J66" s="8"/>
    </row>
    <row r="67" spans="1:10" x14ac:dyDescent="0.35">
      <c r="A67" s="8"/>
      <c r="B67" s="26">
        <v>100</v>
      </c>
      <c r="C67" s="26">
        <f>IF(表5_710[[#This Row],[字典键]]="","",90200000+ROW()-4)</f>
        <v>90200063</v>
      </c>
      <c r="D67" s="7" t="s">
        <v>1871</v>
      </c>
      <c r="E67" s="49" t="s">
        <v>1861</v>
      </c>
      <c r="F67" s="7">
        <v>2</v>
      </c>
      <c r="G67" s="32" t="s">
        <v>1865</v>
      </c>
      <c r="H67" s="32"/>
      <c r="I67" s="34" t="s">
        <v>1868</v>
      </c>
      <c r="J67" s="8"/>
    </row>
    <row r="68" spans="1:10" x14ac:dyDescent="0.35">
      <c r="A68" s="8"/>
      <c r="B68" s="26">
        <v>100</v>
      </c>
      <c r="C68" s="26">
        <f>IF(表5_710[[#This Row],[字典键]]="","",90200000+ROW()-4)</f>
        <v>90200064</v>
      </c>
      <c r="D68" s="7" t="s">
        <v>1872</v>
      </c>
      <c r="E68" s="49" t="s">
        <v>1861</v>
      </c>
      <c r="F68" s="7">
        <v>3</v>
      </c>
      <c r="G68" s="32" t="s">
        <v>1866</v>
      </c>
      <c r="H68" s="32"/>
      <c r="I68" s="34" t="s">
        <v>1869</v>
      </c>
      <c r="J68" s="8"/>
    </row>
    <row r="69" spans="1:10" x14ac:dyDescent="0.35">
      <c r="A69" s="8"/>
      <c r="B69" s="26">
        <v>100</v>
      </c>
      <c r="C69" s="26">
        <f>IF(表5_710[[#This Row],[字典键]]="","",90200000+ROW()-4)</f>
        <v>90200065</v>
      </c>
      <c r="D69" s="7" t="s">
        <v>2057</v>
      </c>
      <c r="E69" s="49" t="s">
        <v>2032</v>
      </c>
      <c r="F69" s="7">
        <v>1</v>
      </c>
      <c r="G69" s="32" t="s">
        <v>2033</v>
      </c>
      <c r="H69" s="32"/>
      <c r="I69" s="34" t="s">
        <v>2059</v>
      </c>
      <c r="J69" s="8"/>
    </row>
    <row r="70" spans="1:10" x14ac:dyDescent="0.35">
      <c r="A70" s="8"/>
      <c r="B70" s="26">
        <v>100</v>
      </c>
      <c r="C70" s="26">
        <f>IF(表5_710[[#This Row],[字典键]]="","",90200000+ROW()-4)</f>
        <v>90200066</v>
      </c>
      <c r="D70" s="7" t="s">
        <v>2058</v>
      </c>
      <c r="E70" s="49" t="s">
        <v>2032</v>
      </c>
      <c r="F70" s="7">
        <v>2</v>
      </c>
      <c r="G70" s="32" t="s">
        <v>2034</v>
      </c>
      <c r="H70" s="32"/>
      <c r="I70" s="34" t="s">
        <v>2060</v>
      </c>
      <c r="J70" s="8"/>
    </row>
    <row r="71" spans="1:10" x14ac:dyDescent="0.35">
      <c r="A71" s="8"/>
      <c r="B71" s="26">
        <v>100</v>
      </c>
      <c r="C71" s="26">
        <f>IF(表5_710[[#This Row],[字典键]]="","",90200000+ROW()-4)</f>
        <v>90200067</v>
      </c>
      <c r="D71" s="7" t="s">
        <v>2058</v>
      </c>
      <c r="E71" s="49" t="s">
        <v>2032</v>
      </c>
      <c r="F71" s="7">
        <v>3</v>
      </c>
      <c r="G71" s="32" t="s">
        <v>2035</v>
      </c>
      <c r="H71" s="32"/>
      <c r="I71" s="34" t="s">
        <v>2061</v>
      </c>
      <c r="J71" s="8"/>
    </row>
    <row r="72" spans="1:10" x14ac:dyDescent="0.35">
      <c r="A72" s="8"/>
      <c r="B72" s="26">
        <v>100</v>
      </c>
      <c r="C72" s="26">
        <f>IF(表5_710[[#This Row],[字典键]]="","",90200000+ROW()-4)</f>
        <v>90200068</v>
      </c>
      <c r="D72" s="7"/>
      <c r="E72" s="49" t="s">
        <v>2867</v>
      </c>
      <c r="F72" s="7">
        <v>1</v>
      </c>
      <c r="G72" s="32" t="s">
        <v>2868</v>
      </c>
      <c r="H72" s="32"/>
      <c r="I72" s="34"/>
      <c r="J72" s="8"/>
    </row>
    <row r="73" spans="1:10" x14ac:dyDescent="0.35">
      <c r="A73" s="8"/>
      <c r="B73" s="26">
        <v>100</v>
      </c>
      <c r="C73" s="26">
        <f>IF(表5_710[[#This Row],[字典键]]="","",90200000+ROW()-4)</f>
        <v>90200069</v>
      </c>
      <c r="D73" s="7"/>
      <c r="E73" s="49" t="s">
        <v>2867</v>
      </c>
      <c r="F73" s="7">
        <v>2</v>
      </c>
      <c r="G73" s="32" t="s">
        <v>2869</v>
      </c>
      <c r="H73" s="32"/>
      <c r="I73" s="34"/>
      <c r="J73" s="8"/>
    </row>
    <row r="74" spans="1:10" x14ac:dyDescent="0.35">
      <c r="A74" s="8"/>
      <c r="B74" s="26">
        <v>100</v>
      </c>
      <c r="C74" s="26">
        <f>IF(表5_710[[#This Row],[字典键]]="","",90200000+ROW()-4)</f>
        <v>90200070</v>
      </c>
      <c r="D74" s="7"/>
      <c r="E74" s="49" t="s">
        <v>2867</v>
      </c>
      <c r="F74" s="7">
        <v>3</v>
      </c>
      <c r="G74" s="32" t="s">
        <v>2870</v>
      </c>
      <c r="H74" s="32"/>
      <c r="I74" s="34"/>
      <c r="J74" s="8"/>
    </row>
    <row r="75" spans="1:10" x14ac:dyDescent="0.35">
      <c r="A75" s="8"/>
      <c r="B75" s="26">
        <v>100</v>
      </c>
      <c r="C75" s="26">
        <f>IF(表5_710[[#This Row],[字典键]]="","",90200000+ROW()-4)</f>
        <v>90200071</v>
      </c>
      <c r="D75" s="7" t="s">
        <v>2027</v>
      </c>
      <c r="E75" s="49" t="s">
        <v>2024</v>
      </c>
      <c r="F75" s="7">
        <v>1</v>
      </c>
      <c r="G75" s="32" t="s">
        <v>2025</v>
      </c>
      <c r="H75" s="32"/>
      <c r="I75" s="34"/>
      <c r="J75" s="8"/>
    </row>
    <row r="76" spans="1:10" x14ac:dyDescent="0.35">
      <c r="A76" s="8"/>
      <c r="B76" s="26">
        <v>100</v>
      </c>
      <c r="C76" s="26">
        <f>IF(表5_710[[#This Row],[字典键]]="","",90200000+ROW()-4)</f>
        <v>90200072</v>
      </c>
      <c r="D76" s="7"/>
      <c r="E76" s="49" t="s">
        <v>2024</v>
      </c>
      <c r="F76" s="7">
        <v>2</v>
      </c>
      <c r="G76" s="32" t="s">
        <v>2026</v>
      </c>
      <c r="H76" s="32"/>
      <c r="I76" s="34"/>
      <c r="J76" s="8"/>
    </row>
    <row r="77" spans="1:10" x14ac:dyDescent="0.35">
      <c r="A77" s="8"/>
      <c r="B77" s="26">
        <v>100</v>
      </c>
      <c r="C77" s="26">
        <f>IF(表5_710[[#This Row],[字典键]]="","",90200000+ROW()-4)</f>
        <v>90200073</v>
      </c>
      <c r="D77" s="7"/>
      <c r="E77" s="49" t="s">
        <v>2024</v>
      </c>
      <c r="F77" s="7">
        <v>3</v>
      </c>
      <c r="G77" s="32" t="s">
        <v>2026</v>
      </c>
      <c r="H77" s="32"/>
      <c r="I77" s="34"/>
      <c r="J77" s="8"/>
    </row>
    <row r="78" spans="1:10" x14ac:dyDescent="0.35">
      <c r="A78" s="8"/>
      <c r="B78" s="26">
        <v>100</v>
      </c>
      <c r="C78" s="26">
        <f>IF(表5_710[[#This Row],[字典键]]="","",90200000+ROW()-4)</f>
        <v>90200074</v>
      </c>
      <c r="D78" s="7"/>
      <c r="E78" s="49" t="s">
        <v>2024</v>
      </c>
      <c r="F78" s="7">
        <v>4</v>
      </c>
      <c r="G78" s="32" t="s">
        <v>2026</v>
      </c>
      <c r="H78" s="32"/>
      <c r="I78" s="34"/>
      <c r="J78" s="8"/>
    </row>
    <row r="79" spans="1:10" x14ac:dyDescent="0.35">
      <c r="A79" s="8"/>
      <c r="B79" s="26">
        <v>100</v>
      </c>
      <c r="C79" s="26">
        <f>IF(表5_710[[#This Row],[字典键]]="","",90200000+ROW()-4)</f>
        <v>90200075</v>
      </c>
      <c r="D79" s="7" t="s">
        <v>1671</v>
      </c>
      <c r="E79" s="49" t="s">
        <v>1658</v>
      </c>
      <c r="F79" s="7">
        <v>0</v>
      </c>
      <c r="G79" s="32" t="s">
        <v>1659</v>
      </c>
      <c r="H79" s="32"/>
      <c r="I79" s="34"/>
      <c r="J79" s="8"/>
    </row>
    <row r="80" spans="1:10" x14ac:dyDescent="0.35">
      <c r="A80" s="8"/>
      <c r="B80" s="26">
        <v>100</v>
      </c>
      <c r="C80" s="26">
        <f>IF(表5_710[[#This Row],[字典键]]="","",90200000+ROW()-4)</f>
        <v>90200076</v>
      </c>
      <c r="D80" s="7" t="s">
        <v>1670</v>
      </c>
      <c r="E80" s="49" t="s">
        <v>1658</v>
      </c>
      <c r="F80" s="7">
        <v>1</v>
      </c>
      <c r="G80" s="32" t="s">
        <v>1660</v>
      </c>
      <c r="H80" s="32"/>
      <c r="I80" s="34"/>
      <c r="J80" s="8"/>
    </row>
    <row r="81" spans="1:10" x14ac:dyDescent="0.35">
      <c r="A81" s="8"/>
      <c r="B81" s="26">
        <v>100</v>
      </c>
      <c r="C81" s="26">
        <f>IF(表5_710[[#This Row],[字典键]]="","",90200000+ROW()-4)</f>
        <v>90200077</v>
      </c>
      <c r="D81" s="7" t="s">
        <v>1666</v>
      </c>
      <c r="E81" s="49" t="s">
        <v>1658</v>
      </c>
      <c r="F81" s="7">
        <v>2</v>
      </c>
      <c r="G81" s="32" t="s">
        <v>1663</v>
      </c>
      <c r="H81" s="32"/>
      <c r="I81" s="34"/>
      <c r="J81" s="8"/>
    </row>
    <row r="82" spans="1:10" x14ac:dyDescent="0.35">
      <c r="A82" s="8"/>
      <c r="B82" s="26">
        <v>100</v>
      </c>
      <c r="C82" s="26">
        <f>IF(表5_710[[#This Row],[字典键]]="","",90200000+ROW()-4)</f>
        <v>90200078</v>
      </c>
      <c r="D82" s="7" t="s">
        <v>2014</v>
      </c>
      <c r="E82" s="49" t="s">
        <v>1658</v>
      </c>
      <c r="F82" s="7">
        <v>3</v>
      </c>
      <c r="G82" s="32" t="s">
        <v>2002</v>
      </c>
      <c r="H82" s="32"/>
      <c r="I82" s="34"/>
      <c r="J82" s="8"/>
    </row>
    <row r="83" spans="1:10" x14ac:dyDescent="0.35">
      <c r="A83" s="8"/>
      <c r="B83" s="26">
        <v>100</v>
      </c>
      <c r="C83" s="26">
        <f>IF(表5_710[[#This Row],[字典键]]="","",90200000+ROW()-4)</f>
        <v>90200079</v>
      </c>
      <c r="D83" s="7" t="s">
        <v>2015</v>
      </c>
      <c r="E83" s="49" t="s">
        <v>1658</v>
      </c>
      <c r="F83" s="7">
        <v>4</v>
      </c>
      <c r="G83" s="32" t="s">
        <v>2003</v>
      </c>
      <c r="H83" s="32"/>
      <c r="I83" s="34"/>
      <c r="J83" s="8"/>
    </row>
    <row r="84" spans="1:10" x14ac:dyDescent="0.35">
      <c r="A84" s="8"/>
      <c r="B84" s="26">
        <v>100</v>
      </c>
      <c r="C84" s="26">
        <f>IF(表5_710[[#This Row],[字典键]]="","",90200000+ROW()-4)</f>
        <v>90200080</v>
      </c>
      <c r="D84" s="7" t="s">
        <v>2016</v>
      </c>
      <c r="E84" s="49" t="s">
        <v>1658</v>
      </c>
      <c r="F84" s="7">
        <v>5</v>
      </c>
      <c r="G84" s="32" t="s">
        <v>2004</v>
      </c>
      <c r="H84" s="32"/>
      <c r="I84" s="34"/>
      <c r="J84" s="8"/>
    </row>
    <row r="85" spans="1:10" x14ac:dyDescent="0.35">
      <c r="A85" s="8"/>
      <c r="B85" s="26">
        <v>100</v>
      </c>
      <c r="C85" s="26">
        <f>IF(表5_710[[#This Row],[字典键]]="","",90200000+ROW()-4)</f>
        <v>90200081</v>
      </c>
      <c r="D85" s="7" t="s">
        <v>2017</v>
      </c>
      <c r="E85" s="49" t="s">
        <v>1658</v>
      </c>
      <c r="F85" s="7">
        <v>6</v>
      </c>
      <c r="G85" s="32" t="s">
        <v>2005</v>
      </c>
      <c r="H85" s="32"/>
      <c r="I85" s="34"/>
      <c r="J85" s="8"/>
    </row>
    <row r="86" spans="1:10" x14ac:dyDescent="0.35">
      <c r="A86" s="8"/>
      <c r="B86" s="26">
        <v>100</v>
      </c>
      <c r="C86" s="26">
        <f>IF(表5_710[[#This Row],[字典键]]="","",90200000+ROW()-4)</f>
        <v>90200082</v>
      </c>
      <c r="D86" s="7" t="s">
        <v>2018</v>
      </c>
      <c r="E86" s="49" t="s">
        <v>1658</v>
      </c>
      <c r="F86" s="7">
        <v>7</v>
      </c>
      <c r="G86" s="32" t="s">
        <v>2006</v>
      </c>
      <c r="H86" s="32"/>
      <c r="I86" s="34"/>
      <c r="J86" s="8"/>
    </row>
    <row r="87" spans="1:10" x14ac:dyDescent="0.35">
      <c r="A87" s="8"/>
      <c r="B87" s="26">
        <v>100</v>
      </c>
      <c r="C87" s="26">
        <f>IF(表5_710[[#This Row],[字典键]]="","",90200000+ROW()-4)</f>
        <v>90200083</v>
      </c>
      <c r="D87" s="7" t="s">
        <v>2019</v>
      </c>
      <c r="E87" s="49" t="s">
        <v>1658</v>
      </c>
      <c r="F87" s="7">
        <v>8</v>
      </c>
      <c r="G87" s="32" t="s">
        <v>2007</v>
      </c>
      <c r="H87" s="32"/>
      <c r="I87" s="34"/>
      <c r="J87" s="8"/>
    </row>
    <row r="88" spans="1:10" x14ac:dyDescent="0.35">
      <c r="A88" s="8"/>
      <c r="B88" s="26">
        <v>100</v>
      </c>
      <c r="C88" s="26">
        <f>IF(表5_710[[#This Row],[字典键]]="","",90200000+ROW()-4)</f>
        <v>90200084</v>
      </c>
      <c r="D88" s="7" t="s">
        <v>2020</v>
      </c>
      <c r="E88" s="49" t="s">
        <v>1658</v>
      </c>
      <c r="F88" s="7">
        <v>9</v>
      </c>
      <c r="G88" s="32" t="s">
        <v>2008</v>
      </c>
      <c r="H88" s="32"/>
      <c r="I88" s="34"/>
      <c r="J88" s="8"/>
    </row>
    <row r="89" spans="1:10" x14ac:dyDescent="0.35">
      <c r="A89" s="8"/>
      <c r="B89" s="26">
        <v>100</v>
      </c>
      <c r="C89" s="26">
        <f>IF(表5_710[[#This Row],[字典键]]="","",90200000+ROW()-4)</f>
        <v>90200085</v>
      </c>
      <c r="D89" s="7" t="s">
        <v>1669</v>
      </c>
      <c r="E89" s="49" t="s">
        <v>1658</v>
      </c>
      <c r="F89" s="7">
        <v>98</v>
      </c>
      <c r="G89" s="32" t="s">
        <v>2009</v>
      </c>
      <c r="H89" s="32"/>
      <c r="I89" s="34"/>
      <c r="J89" s="8"/>
    </row>
    <row r="90" spans="1:10" x14ac:dyDescent="0.35">
      <c r="A90" s="8"/>
      <c r="B90" s="26">
        <v>100</v>
      </c>
      <c r="C90" s="26">
        <f>IF(表5_710[[#This Row],[字典键]]="","",90200000+ROW()-4)</f>
        <v>90200086</v>
      </c>
      <c r="D90" s="7" t="s">
        <v>2021</v>
      </c>
      <c r="E90" s="49" t="s">
        <v>1658</v>
      </c>
      <c r="F90" s="7">
        <v>99</v>
      </c>
      <c r="G90" s="32" t="s">
        <v>2010</v>
      </c>
      <c r="H90" s="32"/>
      <c r="I90" s="34"/>
      <c r="J90" s="8"/>
    </row>
    <row r="91" spans="1:10" x14ac:dyDescent="0.35">
      <c r="A91" s="8"/>
      <c r="B91" s="26">
        <v>100</v>
      </c>
      <c r="C91" s="26">
        <f>IF(表5_710[[#This Row],[字典键]]="","",90200000+ROW()-4)</f>
        <v>90200087</v>
      </c>
      <c r="D91" s="7"/>
      <c r="E91" s="49" t="s">
        <v>1665</v>
      </c>
      <c r="F91" s="7">
        <v>0</v>
      </c>
      <c r="G91" s="32" t="s">
        <v>2011</v>
      </c>
      <c r="H91" s="32"/>
      <c r="I91" s="34"/>
      <c r="J91" s="8"/>
    </row>
    <row r="92" spans="1:10" x14ac:dyDescent="0.35">
      <c r="A92" s="8"/>
      <c r="B92" s="26">
        <v>100</v>
      </c>
      <c r="C92" s="26">
        <f>IF(表5_710[[#This Row],[字典键]]="","",90200000+ROW()-4)</f>
        <v>90200088</v>
      </c>
      <c r="D92" s="7" t="s">
        <v>1666</v>
      </c>
      <c r="E92" s="49" t="s">
        <v>1665</v>
      </c>
      <c r="F92" s="7">
        <v>1</v>
      </c>
      <c r="G92" s="32" t="s">
        <v>1663</v>
      </c>
      <c r="H92" s="32"/>
      <c r="I92" s="34"/>
      <c r="J92" s="8"/>
    </row>
    <row r="93" spans="1:10" x14ac:dyDescent="0.35">
      <c r="A93" s="8"/>
      <c r="B93" s="26">
        <v>100</v>
      </c>
      <c r="C93" s="26">
        <f>IF(表5_710[[#This Row],[字典键]]="","",90200000+ROW()-4)</f>
        <v>90200089</v>
      </c>
      <c r="D93" s="7" t="s">
        <v>1668</v>
      </c>
      <c r="E93" s="49" t="s">
        <v>1665</v>
      </c>
      <c r="F93" s="7">
        <v>2</v>
      </c>
      <c r="G93" s="32" t="s">
        <v>1662</v>
      </c>
      <c r="H93" s="32"/>
      <c r="I93" s="34"/>
      <c r="J93" s="8"/>
    </row>
    <row r="94" spans="1:10" x14ac:dyDescent="0.35">
      <c r="A94" s="8"/>
      <c r="B94" s="26">
        <v>100</v>
      </c>
      <c r="C94" s="26">
        <f>IF(表5_710[[#This Row],[字典键]]="","",90200000+ROW()-4)</f>
        <v>90200090</v>
      </c>
      <c r="D94" s="7" t="s">
        <v>2017</v>
      </c>
      <c r="E94" s="49" t="s">
        <v>1665</v>
      </c>
      <c r="F94" s="7">
        <v>3</v>
      </c>
      <c r="G94" s="32" t="s">
        <v>2005</v>
      </c>
      <c r="H94" s="32"/>
      <c r="I94" s="34"/>
      <c r="J94" s="8"/>
    </row>
    <row r="95" spans="1:10" x14ac:dyDescent="0.35">
      <c r="A95" s="8"/>
      <c r="B95" s="26">
        <v>100</v>
      </c>
      <c r="C95" s="26">
        <f>IF(表5_710[[#This Row],[字典键]]="","",90200000+ROW()-4)</f>
        <v>90200091</v>
      </c>
      <c r="D95" s="7" t="s">
        <v>1667</v>
      </c>
      <c r="E95" s="49" t="s">
        <v>1665</v>
      </c>
      <c r="F95" s="7">
        <v>4</v>
      </c>
      <c r="G95" s="32" t="s">
        <v>1661</v>
      </c>
      <c r="H95" s="32"/>
      <c r="I95" s="34"/>
      <c r="J95" s="8"/>
    </row>
    <row r="96" spans="1:10" x14ac:dyDescent="0.35">
      <c r="A96" s="8"/>
      <c r="B96" s="26">
        <v>100</v>
      </c>
      <c r="C96" s="26">
        <f>IF(表5_710[[#This Row],[字典键]]="","",90200000+ROW()-4)</f>
        <v>90200092</v>
      </c>
      <c r="D96" s="7" t="s">
        <v>2022</v>
      </c>
      <c r="E96" s="49" t="s">
        <v>1665</v>
      </c>
      <c r="F96" s="7">
        <v>5</v>
      </c>
      <c r="G96" s="32" t="s">
        <v>2012</v>
      </c>
      <c r="H96" s="32"/>
      <c r="I96" s="34"/>
      <c r="J96" s="8"/>
    </row>
    <row r="97" spans="1:10" x14ac:dyDescent="0.35">
      <c r="A97" s="8"/>
      <c r="B97" s="26">
        <v>100</v>
      </c>
      <c r="C97" s="26">
        <f>IF(表5_710[[#This Row],[字典键]]="","",90200000+ROW()-4)</f>
        <v>90200093</v>
      </c>
      <c r="D97" s="7" t="s">
        <v>2023</v>
      </c>
      <c r="E97" s="49" t="s">
        <v>1665</v>
      </c>
      <c r="F97" s="7">
        <v>6</v>
      </c>
      <c r="G97" s="32" t="s">
        <v>2013</v>
      </c>
      <c r="H97" s="32"/>
      <c r="I97" s="34"/>
      <c r="J97" s="8"/>
    </row>
    <row r="98" spans="1:10" x14ac:dyDescent="0.35">
      <c r="A98" s="8"/>
      <c r="B98" s="26">
        <v>100</v>
      </c>
      <c r="C98" s="26">
        <f>IF(表5_710[[#This Row],[字典键]]="","",90200000+ROW()-4)</f>
        <v>90200094</v>
      </c>
      <c r="D98" s="7" t="s">
        <v>1890</v>
      </c>
      <c r="E98" s="49" t="s">
        <v>1886</v>
      </c>
      <c r="F98" s="7">
        <v>0</v>
      </c>
      <c r="G98" s="32" t="s">
        <v>1887</v>
      </c>
      <c r="H98" s="32"/>
      <c r="I98" s="34"/>
      <c r="J98" s="8"/>
    </row>
    <row r="99" spans="1:10" x14ac:dyDescent="0.35">
      <c r="A99" s="8"/>
      <c r="B99" s="26">
        <v>100</v>
      </c>
      <c r="C99" s="26">
        <f>IF(表5_710[[#This Row],[字典键]]="","",90200000+ROW()-4)</f>
        <v>90200095</v>
      </c>
      <c r="D99" s="7" t="s">
        <v>1891</v>
      </c>
      <c r="E99" s="49" t="s">
        <v>1886</v>
      </c>
      <c r="F99" s="7">
        <v>1</v>
      </c>
      <c r="G99" s="32" t="s">
        <v>1888</v>
      </c>
      <c r="H99" s="32"/>
      <c r="I99" s="34"/>
      <c r="J99" s="8"/>
    </row>
    <row r="100" spans="1:10" x14ac:dyDescent="0.35">
      <c r="A100" s="8"/>
      <c r="B100" s="26">
        <v>100</v>
      </c>
      <c r="C100" s="26">
        <f>IF(表5_710[[#This Row],[字典键]]="","",90200000+ROW()-4)</f>
        <v>90200096</v>
      </c>
      <c r="D100" s="7" t="s">
        <v>1892</v>
      </c>
      <c r="E100" s="49" t="s">
        <v>1886</v>
      </c>
      <c r="F100" s="7">
        <v>2</v>
      </c>
      <c r="G100" s="32" t="s">
        <v>1889</v>
      </c>
      <c r="H100" s="32"/>
      <c r="I100" s="34"/>
      <c r="J100" s="8"/>
    </row>
    <row r="101" spans="1:10" x14ac:dyDescent="0.35">
      <c r="A101" s="8"/>
      <c r="B101" s="26">
        <v>100</v>
      </c>
      <c r="C101" s="26">
        <f>IF(表5_710[[#This Row],[字典键]]="","",90200000+ROW()-4)</f>
        <v>90200097</v>
      </c>
      <c r="D101" s="7"/>
      <c r="E101" s="49" t="s">
        <v>2141</v>
      </c>
      <c r="F101" s="7">
        <v>1</v>
      </c>
      <c r="G101" s="32" t="s">
        <v>2142</v>
      </c>
      <c r="H101" s="32"/>
      <c r="I101" s="34"/>
      <c r="J101" s="8"/>
    </row>
    <row r="102" spans="1:10" x14ac:dyDescent="0.35">
      <c r="A102" s="8"/>
      <c r="B102" s="26">
        <v>100</v>
      </c>
      <c r="C102" s="26">
        <f>IF(表5_710[[#This Row],[字典键]]="","",90200000+ROW()-4)</f>
        <v>90200098</v>
      </c>
      <c r="D102" s="7"/>
      <c r="E102" s="49" t="s">
        <v>2141</v>
      </c>
      <c r="F102" s="7">
        <v>2</v>
      </c>
      <c r="G102" s="32" t="s">
        <v>2143</v>
      </c>
      <c r="H102" s="32"/>
      <c r="I102" s="34"/>
      <c r="J102" s="8"/>
    </row>
    <row r="103" spans="1:10" x14ac:dyDescent="0.35">
      <c r="A103" s="8"/>
      <c r="B103" s="26">
        <v>100</v>
      </c>
      <c r="C103" s="26">
        <f>IF(表5_710[[#This Row],[字典键]]="","",90200000+ROW()-4)</f>
        <v>90200099</v>
      </c>
      <c r="D103" s="7"/>
      <c r="E103" s="49" t="s">
        <v>2141</v>
      </c>
      <c r="F103" s="7">
        <v>3</v>
      </c>
      <c r="G103" s="32" t="s">
        <v>2144</v>
      </c>
      <c r="H103" s="32"/>
      <c r="I103" s="34"/>
      <c r="J103" s="8"/>
    </row>
    <row r="104" spans="1:10" x14ac:dyDescent="0.35">
      <c r="A104" s="8"/>
      <c r="B104" s="26">
        <v>100</v>
      </c>
      <c r="C104" s="26">
        <f>IF(表5_710[[#This Row],[字典键]]="","",90200000+ROW()-4)</f>
        <v>90200100</v>
      </c>
      <c r="D104" s="7"/>
      <c r="E104" s="49" t="s">
        <v>2141</v>
      </c>
      <c r="F104" s="7">
        <v>4</v>
      </c>
      <c r="G104" s="32" t="s">
        <v>2145</v>
      </c>
      <c r="H104" s="32"/>
      <c r="I104" s="34"/>
      <c r="J104" s="8"/>
    </row>
    <row r="105" spans="1:10" x14ac:dyDescent="0.35">
      <c r="A105" s="8"/>
      <c r="B105" s="26">
        <v>100</v>
      </c>
      <c r="C105" s="26">
        <f>IF(表5_710[[#This Row],[字典键]]="","",90200000+ROW()-4)</f>
        <v>90200101</v>
      </c>
      <c r="D105" s="7"/>
      <c r="E105" s="49" t="s">
        <v>2141</v>
      </c>
      <c r="F105" s="7">
        <v>5</v>
      </c>
      <c r="G105" s="32" t="s">
        <v>2146</v>
      </c>
      <c r="H105" s="32"/>
      <c r="I105" s="34"/>
      <c r="J105" s="8"/>
    </row>
    <row r="106" spans="1:10" x14ac:dyDescent="0.35">
      <c r="A106" s="8"/>
      <c r="B106" s="26">
        <v>100</v>
      </c>
      <c r="C106" s="26">
        <f>IF(表5_710[[#This Row],[字典键]]="","",90200000+ROW()-4)</f>
        <v>90200102</v>
      </c>
      <c r="D106" s="7"/>
      <c r="E106" s="49" t="s">
        <v>2141</v>
      </c>
      <c r="F106" s="7">
        <v>6</v>
      </c>
      <c r="G106" s="32" t="s">
        <v>2147</v>
      </c>
      <c r="H106" s="32"/>
      <c r="I106" s="34"/>
      <c r="J106" s="8"/>
    </row>
    <row r="107" spans="1:10" x14ac:dyDescent="0.35">
      <c r="A107" s="8"/>
      <c r="B107" s="26">
        <v>100</v>
      </c>
      <c r="C107" s="26">
        <f>IF(表5_710[[#This Row],[字典键]]="","",90200000+ROW()-4)</f>
        <v>90200103</v>
      </c>
      <c r="D107" s="7"/>
      <c r="E107" s="49" t="s">
        <v>2141</v>
      </c>
      <c r="F107" s="7">
        <v>7</v>
      </c>
      <c r="G107" s="32" t="s">
        <v>2148</v>
      </c>
      <c r="H107" s="32"/>
      <c r="I107" s="34"/>
      <c r="J107" s="8"/>
    </row>
    <row r="108" spans="1:10" x14ac:dyDescent="0.35">
      <c r="A108" s="8"/>
      <c r="B108" s="26">
        <v>100</v>
      </c>
      <c r="C108" s="26">
        <f>IF(表5_710[[#This Row],[字典键]]="","",90200000+ROW()-4)</f>
        <v>90200104</v>
      </c>
      <c r="D108" s="7"/>
      <c r="E108" s="49" t="s">
        <v>2141</v>
      </c>
      <c r="F108" s="7">
        <v>8</v>
      </c>
      <c r="G108" s="32" t="s">
        <v>2149</v>
      </c>
      <c r="H108" s="32"/>
      <c r="I108" s="34"/>
      <c r="J108" s="8"/>
    </row>
    <row r="109" spans="1:10" x14ac:dyDescent="0.35">
      <c r="A109" s="8"/>
      <c r="B109" s="26">
        <v>100</v>
      </c>
      <c r="C109" s="26">
        <f>IF(表5_710[[#This Row],[字典键]]="","",90200000+ROW()-4)</f>
        <v>90200105</v>
      </c>
      <c r="D109" s="7"/>
      <c r="E109" s="49" t="s">
        <v>2141</v>
      </c>
      <c r="F109" s="7">
        <v>9</v>
      </c>
      <c r="G109" s="32" t="s">
        <v>2150</v>
      </c>
      <c r="H109" s="32"/>
      <c r="I109" s="34"/>
      <c r="J109" s="8"/>
    </row>
    <row r="110" spans="1:10" x14ac:dyDescent="0.35">
      <c r="A110" s="8"/>
      <c r="B110" s="26">
        <v>100</v>
      </c>
      <c r="C110" s="26">
        <f>IF(表5_710[[#This Row],[字典键]]="","",90200000+ROW()-4)</f>
        <v>90200106</v>
      </c>
      <c r="D110" s="7"/>
      <c r="E110" s="49" t="s">
        <v>2141</v>
      </c>
      <c r="F110" s="7">
        <v>10</v>
      </c>
      <c r="G110" s="32" t="s">
        <v>2151</v>
      </c>
      <c r="H110" s="32"/>
      <c r="I110" s="34"/>
      <c r="J110" s="8"/>
    </row>
    <row r="111" spans="1:10" x14ac:dyDescent="0.35">
      <c r="A111" s="8"/>
      <c r="B111" s="26">
        <v>100</v>
      </c>
      <c r="C111" s="26">
        <f>IF(表5_710[[#This Row],[字典键]]="","",90200000+ROW()-4)</f>
        <v>90200107</v>
      </c>
      <c r="D111" s="7"/>
      <c r="E111" s="49" t="s">
        <v>2141</v>
      </c>
      <c r="F111" s="7">
        <v>11</v>
      </c>
      <c r="G111" s="32" t="s">
        <v>2152</v>
      </c>
      <c r="H111" s="32"/>
      <c r="I111" s="34"/>
      <c r="J111" s="8"/>
    </row>
    <row r="112" spans="1:10" x14ac:dyDescent="0.35">
      <c r="A112" s="8"/>
      <c r="B112" s="26">
        <v>100</v>
      </c>
      <c r="C112" s="26">
        <f>IF(表5_710[[#This Row],[字典键]]="","",90200000+ROW()-4)</f>
        <v>90200108</v>
      </c>
      <c r="D112" s="7"/>
      <c r="E112" s="49" t="s">
        <v>2141</v>
      </c>
      <c r="F112" s="7">
        <v>12</v>
      </c>
      <c r="G112" s="32" t="s">
        <v>2153</v>
      </c>
      <c r="H112" s="32"/>
      <c r="I112" s="34"/>
      <c r="J112" s="8"/>
    </row>
    <row r="113" spans="1:10" x14ac:dyDescent="0.35">
      <c r="A113" s="8"/>
      <c r="B113" s="26">
        <v>100</v>
      </c>
      <c r="C113" s="26">
        <f>IF(表5_710[[#This Row],[字典键]]="","",90200000+ROW()-4)</f>
        <v>90200109</v>
      </c>
      <c r="D113" s="7"/>
      <c r="E113" s="49" t="s">
        <v>2141</v>
      </c>
      <c r="F113" s="7">
        <v>13</v>
      </c>
      <c r="G113" s="32" t="s">
        <v>2154</v>
      </c>
      <c r="H113" s="32"/>
      <c r="I113" s="34"/>
      <c r="J113" s="8"/>
    </row>
    <row r="114" spans="1:10" x14ac:dyDescent="0.35">
      <c r="A114" s="8"/>
      <c r="B114" s="26">
        <v>100</v>
      </c>
      <c r="C114" s="26">
        <f>IF(表5_710[[#This Row],[字典键]]="","",90200000+ROW()-4)</f>
        <v>90200110</v>
      </c>
      <c r="D114" s="7"/>
      <c r="E114" s="49" t="s">
        <v>2141</v>
      </c>
      <c r="F114" s="7">
        <v>14</v>
      </c>
      <c r="G114" s="32" t="s">
        <v>2155</v>
      </c>
      <c r="H114" s="32"/>
      <c r="I114" s="34"/>
      <c r="J114" s="8"/>
    </row>
    <row r="115" spans="1:10" x14ac:dyDescent="0.35">
      <c r="A115" s="8"/>
      <c r="B115" s="26">
        <v>100</v>
      </c>
      <c r="C115" s="26">
        <f>IF(表5_710[[#This Row],[字典键]]="","",90200000+ROW()-4)</f>
        <v>90200111</v>
      </c>
      <c r="D115" s="7"/>
      <c r="E115" s="49" t="s">
        <v>2141</v>
      </c>
      <c r="F115" s="7">
        <v>15</v>
      </c>
      <c r="G115" s="32" t="s">
        <v>2156</v>
      </c>
      <c r="H115" s="32"/>
      <c r="I115" s="34"/>
      <c r="J115" s="8"/>
    </row>
    <row r="116" spans="1:10" x14ac:dyDescent="0.35">
      <c r="A116" s="8"/>
      <c r="B116" s="26">
        <v>100</v>
      </c>
      <c r="C116" s="26">
        <f>IF(表5_710[[#This Row],[字典键]]="","",90200000+ROW()-4)</f>
        <v>90200112</v>
      </c>
      <c r="D116" s="7"/>
      <c r="E116" s="49" t="s">
        <v>2141</v>
      </c>
      <c r="F116" s="7">
        <v>16</v>
      </c>
      <c r="G116" s="32" t="s">
        <v>2157</v>
      </c>
      <c r="H116" s="32"/>
      <c r="I116" s="34"/>
      <c r="J116" s="8"/>
    </row>
    <row r="117" spans="1:10" x14ac:dyDescent="0.35">
      <c r="A117" s="8"/>
      <c r="B117" s="26">
        <v>100</v>
      </c>
      <c r="C117" s="26">
        <f>IF(表5_710[[#This Row],[字典键]]="","",90200000+ROW()-4)</f>
        <v>90200113</v>
      </c>
      <c r="D117" s="7"/>
      <c r="E117" s="49" t="s">
        <v>2141</v>
      </c>
      <c r="F117" s="7">
        <v>17</v>
      </c>
      <c r="G117" s="32" t="s">
        <v>2158</v>
      </c>
      <c r="H117" s="32"/>
      <c r="I117" s="34"/>
      <c r="J117" s="8"/>
    </row>
    <row r="118" spans="1:10" x14ac:dyDescent="0.35">
      <c r="A118" s="8"/>
      <c r="B118" s="26">
        <v>100</v>
      </c>
      <c r="C118" s="26">
        <f>IF(表5_710[[#This Row],[字典键]]="","",90200000+ROW()-4)</f>
        <v>90200114</v>
      </c>
      <c r="D118" s="7"/>
      <c r="E118" s="49" t="s">
        <v>2141</v>
      </c>
      <c r="F118" s="7">
        <v>18</v>
      </c>
      <c r="G118" s="32" t="s">
        <v>2159</v>
      </c>
      <c r="H118" s="32"/>
      <c r="I118" s="34"/>
      <c r="J118" s="8"/>
    </row>
    <row r="119" spans="1:10" x14ac:dyDescent="0.35">
      <c r="A119" s="8"/>
      <c r="B119" s="26">
        <v>100</v>
      </c>
      <c r="C119" s="26">
        <f>IF(表5_710[[#This Row],[字典键]]="","",90200000+ROW()-4)</f>
        <v>90200115</v>
      </c>
      <c r="D119" s="7"/>
      <c r="E119" s="49" t="s">
        <v>2141</v>
      </c>
      <c r="F119" s="7">
        <v>19</v>
      </c>
      <c r="G119" s="32" t="s">
        <v>2160</v>
      </c>
      <c r="H119" s="32"/>
      <c r="I119" s="34"/>
      <c r="J119" s="8"/>
    </row>
    <row r="120" spans="1:10" x14ac:dyDescent="0.35">
      <c r="A120" s="8"/>
      <c r="B120" s="26">
        <v>100</v>
      </c>
      <c r="C120" s="26">
        <f>IF(表5_710[[#This Row],[字典键]]="","",90200000+ROW()-4)</f>
        <v>90200116</v>
      </c>
      <c r="D120" s="7"/>
      <c r="E120" s="49" t="s">
        <v>2141</v>
      </c>
      <c r="F120" s="7">
        <v>20</v>
      </c>
      <c r="G120" s="32" t="s">
        <v>2161</v>
      </c>
      <c r="H120" s="32"/>
      <c r="I120" s="34"/>
      <c r="J120" s="8"/>
    </row>
    <row r="121" spans="1:10" x14ac:dyDescent="0.35">
      <c r="A121" s="8"/>
      <c r="B121" s="26">
        <v>100</v>
      </c>
      <c r="C121" s="26">
        <f>IF(表5_710[[#This Row],[字典键]]="","",90200000+ROW()-4)</f>
        <v>90200117</v>
      </c>
      <c r="D121" s="7"/>
      <c r="E121" s="49" t="s">
        <v>2141</v>
      </c>
      <c r="F121" s="7">
        <v>21</v>
      </c>
      <c r="G121" s="32" t="s">
        <v>2162</v>
      </c>
      <c r="H121" s="32"/>
      <c r="I121" s="34"/>
      <c r="J121" s="8"/>
    </row>
    <row r="122" spans="1:10" x14ac:dyDescent="0.35">
      <c r="A122" s="8"/>
      <c r="B122" s="26">
        <v>100</v>
      </c>
      <c r="C122" s="26">
        <f>IF(表5_710[[#This Row],[字典键]]="","",90200000+ROW()-4)</f>
        <v>90200118</v>
      </c>
      <c r="D122" s="7"/>
      <c r="E122" s="49" t="s">
        <v>2141</v>
      </c>
      <c r="F122" s="7">
        <v>22</v>
      </c>
      <c r="G122" s="32" t="s">
        <v>2163</v>
      </c>
      <c r="H122" s="32"/>
      <c r="I122" s="34"/>
      <c r="J122" s="8"/>
    </row>
    <row r="123" spans="1:10" x14ac:dyDescent="0.35">
      <c r="A123" s="8"/>
      <c r="B123" s="26">
        <v>100</v>
      </c>
      <c r="C123" s="26">
        <f>IF(表5_710[[#This Row],[字典键]]="","",90200000+ROW()-4)</f>
        <v>90200119</v>
      </c>
      <c r="D123" s="7"/>
      <c r="E123" s="49" t="s">
        <v>2141</v>
      </c>
      <c r="F123" s="7">
        <v>23</v>
      </c>
      <c r="G123" s="32" t="s">
        <v>2164</v>
      </c>
      <c r="H123" s="32"/>
      <c r="I123" s="34"/>
      <c r="J123" s="8"/>
    </row>
    <row r="124" spans="1:10" x14ac:dyDescent="0.35">
      <c r="A124" s="8"/>
      <c r="B124" s="26">
        <v>100</v>
      </c>
      <c r="C124" s="26">
        <f>IF(表5_710[[#This Row],[字典键]]="","",90200000+ROW()-4)</f>
        <v>90200120</v>
      </c>
      <c r="D124" s="7"/>
      <c r="E124" s="49" t="s">
        <v>2141</v>
      </c>
      <c r="F124" s="7">
        <v>24</v>
      </c>
      <c r="G124" s="32" t="s">
        <v>2165</v>
      </c>
      <c r="H124" s="32"/>
      <c r="I124" s="34"/>
      <c r="J124" s="8"/>
    </row>
    <row r="125" spans="1:10" x14ac:dyDescent="0.35">
      <c r="A125" s="8"/>
      <c r="B125" s="26">
        <v>100</v>
      </c>
      <c r="C125" s="26">
        <f>IF(表5_710[[#This Row],[字典键]]="","",90200000+ROW()-4)</f>
        <v>90200121</v>
      </c>
      <c r="D125" s="7"/>
      <c r="E125" s="49" t="s">
        <v>2141</v>
      </c>
      <c r="F125" s="7">
        <v>25</v>
      </c>
      <c r="G125" s="32" t="s">
        <v>2166</v>
      </c>
      <c r="H125" s="32"/>
      <c r="I125" s="34"/>
      <c r="J125" s="8"/>
    </row>
    <row r="126" spans="1:10" x14ac:dyDescent="0.35">
      <c r="A126" s="8"/>
      <c r="B126" s="26">
        <v>100</v>
      </c>
      <c r="C126" s="26">
        <f>IF(表5_710[[#This Row],[字典键]]="","",90200000+ROW()-4)</f>
        <v>90200122</v>
      </c>
      <c r="D126" s="7"/>
      <c r="E126" s="49" t="s">
        <v>2141</v>
      </c>
      <c r="F126" s="7">
        <v>26</v>
      </c>
      <c r="G126" s="32" t="s">
        <v>2167</v>
      </c>
      <c r="H126" s="32"/>
      <c r="I126" s="34"/>
      <c r="J126" s="8"/>
    </row>
    <row r="127" spans="1:10" x14ac:dyDescent="0.35">
      <c r="A127" s="8"/>
      <c r="B127" s="26">
        <v>100</v>
      </c>
      <c r="C127" s="26">
        <f>IF(表5_710[[#This Row],[字典键]]="","",90200000+ROW()-4)</f>
        <v>90200123</v>
      </c>
      <c r="D127" s="7"/>
      <c r="E127" s="49" t="s">
        <v>2141</v>
      </c>
      <c r="F127" s="7">
        <v>27</v>
      </c>
      <c r="G127" s="32" t="s">
        <v>2168</v>
      </c>
      <c r="H127" s="32"/>
      <c r="I127" s="34"/>
      <c r="J127" s="8" t="s">
        <v>2175</v>
      </c>
    </row>
    <row r="128" spans="1:10" x14ac:dyDescent="0.35">
      <c r="A128" s="8"/>
      <c r="B128" s="26">
        <v>100</v>
      </c>
      <c r="C128" s="26">
        <f>IF(表5_710[[#This Row],[字典键]]="","",90200000+ROW()-4)</f>
        <v>90200124</v>
      </c>
      <c r="D128" s="7"/>
      <c r="E128" s="49" t="s">
        <v>2141</v>
      </c>
      <c r="F128" s="7">
        <v>28</v>
      </c>
      <c r="G128" s="32" t="s">
        <v>2169</v>
      </c>
      <c r="H128" s="32"/>
      <c r="I128" s="34"/>
      <c r="J128" s="8" t="s">
        <v>2174</v>
      </c>
    </row>
    <row r="129" spans="1:10" x14ac:dyDescent="0.35">
      <c r="A129" s="8"/>
      <c r="B129" s="26">
        <v>100</v>
      </c>
      <c r="C129" s="26">
        <f>IF(表5_710[[#This Row],[字典键]]="","",90200000+ROW()-4)</f>
        <v>90200125</v>
      </c>
      <c r="D129" s="7"/>
      <c r="E129" s="49" t="s">
        <v>2141</v>
      </c>
      <c r="F129" s="7">
        <v>29</v>
      </c>
      <c r="G129" s="32" t="s">
        <v>2170</v>
      </c>
      <c r="H129" s="32"/>
      <c r="I129" s="34"/>
      <c r="J129" s="8" t="s">
        <v>2172</v>
      </c>
    </row>
    <row r="130" spans="1:10" x14ac:dyDescent="0.35">
      <c r="A130" s="8"/>
      <c r="B130" s="26">
        <v>100</v>
      </c>
      <c r="C130" s="26">
        <f>IF(表5_710[[#This Row],[字典键]]="","",90200000+ROW()-4)</f>
        <v>90200126</v>
      </c>
      <c r="D130" s="7"/>
      <c r="E130" s="49" t="s">
        <v>2141</v>
      </c>
      <c r="F130" s="7">
        <v>30</v>
      </c>
      <c r="G130" s="32" t="s">
        <v>2171</v>
      </c>
      <c r="H130" s="32"/>
      <c r="I130" s="34"/>
      <c r="J130" s="8" t="s">
        <v>2173</v>
      </c>
    </row>
    <row r="131" spans="1:10" x14ac:dyDescent="0.35">
      <c r="A131" s="28"/>
      <c r="B131" s="26">
        <v>100</v>
      </c>
      <c r="C131" s="26">
        <f>IF(表5_710[[#This Row],[字典键]]="","",90200000+ROW()-4)</f>
        <v>90200127</v>
      </c>
      <c r="D131" s="26" t="s">
        <v>1132</v>
      </c>
      <c r="E131" s="48" t="s">
        <v>1104</v>
      </c>
      <c r="F131" s="26">
        <v>1</v>
      </c>
      <c r="G131" s="31" t="s">
        <v>1108</v>
      </c>
      <c r="H131" s="31" t="s">
        <v>1114</v>
      </c>
      <c r="I131" s="33" t="s">
        <v>1124</v>
      </c>
      <c r="J131" s="28"/>
    </row>
    <row r="132" spans="1:10" x14ac:dyDescent="0.35">
      <c r="A132" s="28"/>
      <c r="B132" s="26">
        <v>100</v>
      </c>
      <c r="C132" s="26">
        <f>IF(表5_710[[#This Row],[字典键]]="","",90200000+ROW()-4)</f>
        <v>90200128</v>
      </c>
      <c r="D132" s="26" t="s">
        <v>1133</v>
      </c>
      <c r="E132" s="48" t="s">
        <v>1104</v>
      </c>
      <c r="F132" s="26">
        <v>2</v>
      </c>
      <c r="G132" s="31" t="s">
        <v>1110</v>
      </c>
      <c r="H132" s="31" t="s">
        <v>1115</v>
      </c>
      <c r="I132" s="33" t="s">
        <v>1125</v>
      </c>
      <c r="J132" s="28"/>
    </row>
    <row r="133" spans="1:10" x14ac:dyDescent="0.35">
      <c r="A133" s="28"/>
      <c r="B133" s="26">
        <v>100</v>
      </c>
      <c r="C133" s="26">
        <f>IF(表5_710[[#This Row],[字典键]]="","",90200000+ROW()-4)</f>
        <v>90200129</v>
      </c>
      <c r="D133" s="26" t="s">
        <v>1134</v>
      </c>
      <c r="E133" s="48" t="s">
        <v>1104</v>
      </c>
      <c r="F133" s="26">
        <v>3</v>
      </c>
      <c r="G133" s="31" t="s">
        <v>1111</v>
      </c>
      <c r="H133" s="31" t="s">
        <v>1116</v>
      </c>
      <c r="I133" s="33" t="s">
        <v>1126</v>
      </c>
      <c r="J133" s="28"/>
    </row>
    <row r="134" spans="1:10" x14ac:dyDescent="0.35">
      <c r="A134" s="28"/>
      <c r="B134" s="26">
        <v>100</v>
      </c>
      <c r="C134" s="26">
        <f>IF(表5_710[[#This Row],[字典键]]="","",90200000+ROW()-4)</f>
        <v>90200130</v>
      </c>
      <c r="D134" s="26" t="s">
        <v>1135</v>
      </c>
      <c r="E134" s="48" t="s">
        <v>1104</v>
      </c>
      <c r="F134" s="26">
        <v>4</v>
      </c>
      <c r="G134" s="31" t="s">
        <v>1109</v>
      </c>
      <c r="H134" s="31" t="s">
        <v>1117</v>
      </c>
      <c r="I134" s="33" t="s">
        <v>1127</v>
      </c>
      <c r="J134" s="28"/>
    </row>
    <row r="135" spans="1:10" x14ac:dyDescent="0.35">
      <c r="A135" s="28"/>
      <c r="B135" s="26">
        <v>100</v>
      </c>
      <c r="C135" s="26">
        <f>IF(表5_710[[#This Row],[字典键]]="","",90200000+ROW()-4)</f>
        <v>90200131</v>
      </c>
      <c r="D135" s="26" t="s">
        <v>1136</v>
      </c>
      <c r="E135" s="48" t="s">
        <v>1104</v>
      </c>
      <c r="F135" s="26">
        <v>5</v>
      </c>
      <c r="G135" s="31" t="s">
        <v>1112</v>
      </c>
      <c r="H135" s="31" t="s">
        <v>1118</v>
      </c>
      <c r="I135" s="33" t="s">
        <v>1128</v>
      </c>
      <c r="J135" s="28"/>
    </row>
    <row r="136" spans="1:10" x14ac:dyDescent="0.35">
      <c r="A136" s="28"/>
      <c r="B136" s="26">
        <v>100</v>
      </c>
      <c r="C136" s="26">
        <f>IF(表5_710[[#This Row],[字典键]]="","",90200000+ROW()-4)</f>
        <v>90200132</v>
      </c>
      <c r="D136" s="26" t="s">
        <v>1137</v>
      </c>
      <c r="E136" s="48" t="s">
        <v>1104</v>
      </c>
      <c r="F136" s="26">
        <v>6</v>
      </c>
      <c r="G136" s="31" t="s">
        <v>1113</v>
      </c>
      <c r="H136" s="31" t="s">
        <v>1119</v>
      </c>
      <c r="I136" s="33" t="s">
        <v>1129</v>
      </c>
      <c r="J136" s="28"/>
    </row>
    <row r="137" spans="1:10" x14ac:dyDescent="0.35">
      <c r="A137" s="8"/>
      <c r="B137" s="26">
        <v>100</v>
      </c>
      <c r="C137" s="26">
        <f>IF(表5_710[[#This Row],[字典键]]="","",90200000+ROW()-4)</f>
        <v>90200133</v>
      </c>
      <c r="D137" s="7" t="s">
        <v>1138</v>
      </c>
      <c r="E137" s="48" t="s">
        <v>1104</v>
      </c>
      <c r="F137" s="7">
        <v>7</v>
      </c>
      <c r="G137" s="32" t="s">
        <v>1121</v>
      </c>
      <c r="H137" s="32" t="s">
        <v>1120</v>
      </c>
      <c r="I137" s="34" t="s">
        <v>1130</v>
      </c>
      <c r="J137" s="8"/>
    </row>
    <row r="138" spans="1:10" x14ac:dyDescent="0.35">
      <c r="A138" s="8"/>
      <c r="B138" s="26">
        <v>100</v>
      </c>
      <c r="C138" s="26">
        <f>IF(表5_710[[#This Row],[字典键]]="","",90200000+ROW()-4)</f>
        <v>90200134</v>
      </c>
      <c r="D138" s="7" t="s">
        <v>1139</v>
      </c>
      <c r="E138" s="48" t="s">
        <v>1104</v>
      </c>
      <c r="F138" s="7">
        <v>8</v>
      </c>
      <c r="G138" s="32" t="s">
        <v>1123</v>
      </c>
      <c r="H138" s="32" t="s">
        <v>1122</v>
      </c>
      <c r="I138" s="34" t="s">
        <v>1131</v>
      </c>
      <c r="J138" s="8"/>
    </row>
    <row r="139" spans="1:10" x14ac:dyDescent="0.35">
      <c r="A139" s="8"/>
      <c r="B139" s="26">
        <v>100</v>
      </c>
      <c r="C139" s="26">
        <f>IF(表5_710[[#This Row],[字典键]]="","",90200000+ROW()-4)</f>
        <v>90200135</v>
      </c>
      <c r="D139" s="7" t="s">
        <v>1146</v>
      </c>
      <c r="E139" s="49" t="s">
        <v>1105</v>
      </c>
      <c r="F139" s="7">
        <v>1</v>
      </c>
      <c r="G139" s="32" t="s">
        <v>1140</v>
      </c>
      <c r="H139" s="32" t="s">
        <v>1142</v>
      </c>
      <c r="I139" s="34" t="s">
        <v>1144</v>
      </c>
      <c r="J139" s="8"/>
    </row>
    <row r="140" spans="1:10" x14ac:dyDescent="0.35">
      <c r="A140" s="8"/>
      <c r="B140" s="26">
        <v>100</v>
      </c>
      <c r="C140" s="26">
        <f>IF(表5_710[[#This Row],[字典键]]="","",90200000+ROW()-4)</f>
        <v>90200136</v>
      </c>
      <c r="D140" s="7" t="s">
        <v>1568</v>
      </c>
      <c r="E140" s="49" t="s">
        <v>1105</v>
      </c>
      <c r="F140" s="7">
        <v>2</v>
      </c>
      <c r="G140" s="32" t="s">
        <v>1566</v>
      </c>
      <c r="H140" s="32" t="s">
        <v>1565</v>
      </c>
      <c r="I140" s="34" t="s">
        <v>1563</v>
      </c>
      <c r="J140" s="8"/>
    </row>
    <row r="141" spans="1:10" x14ac:dyDescent="0.35">
      <c r="A141" s="8"/>
      <c r="B141" s="26">
        <v>100</v>
      </c>
      <c r="C141" s="26">
        <f>IF(表5_710[[#This Row],[字典键]]="","",90200000+ROW()-4)</f>
        <v>90200137</v>
      </c>
      <c r="D141" s="7" t="s">
        <v>1569</v>
      </c>
      <c r="E141" s="49" t="s">
        <v>1105</v>
      </c>
      <c r="F141" s="7">
        <v>3</v>
      </c>
      <c r="G141" s="32" t="s">
        <v>1562</v>
      </c>
      <c r="H141" s="32" t="s">
        <v>1567</v>
      </c>
      <c r="I141" s="34" t="s">
        <v>1564</v>
      </c>
      <c r="J141" s="8"/>
    </row>
    <row r="142" spans="1:10" x14ac:dyDescent="0.35">
      <c r="A142" s="8"/>
      <c r="B142" s="26">
        <v>100</v>
      </c>
      <c r="C142" s="26">
        <f>IF(表5_710[[#This Row],[字典键]]="","",90200000+ROW()-4)</f>
        <v>90200138</v>
      </c>
      <c r="D142" s="7" t="s">
        <v>1147</v>
      </c>
      <c r="E142" s="49" t="s">
        <v>1105</v>
      </c>
      <c r="F142" s="7">
        <v>4</v>
      </c>
      <c r="G142" s="32" t="s">
        <v>1141</v>
      </c>
      <c r="H142" s="32" t="s">
        <v>1143</v>
      </c>
      <c r="I142" s="34" t="s">
        <v>1145</v>
      </c>
      <c r="J142" s="8"/>
    </row>
    <row r="143" spans="1:10" x14ac:dyDescent="0.35">
      <c r="A143" s="8"/>
      <c r="B143" s="26">
        <v>100</v>
      </c>
      <c r="C143" s="26">
        <f>IF(表5_710[[#This Row],[字典键]]="","",90200000+ROW()-4)</f>
        <v>90200139</v>
      </c>
      <c r="D143" s="7" t="s">
        <v>2791</v>
      </c>
      <c r="E143" s="49" t="s">
        <v>1105</v>
      </c>
      <c r="F143" s="7">
        <v>9</v>
      </c>
      <c r="G143" s="32" t="s">
        <v>2787</v>
      </c>
      <c r="H143" s="32" t="s">
        <v>2792</v>
      </c>
      <c r="I143" s="34" t="s">
        <v>2793</v>
      </c>
      <c r="J143" s="8"/>
    </row>
    <row r="144" spans="1:10" x14ac:dyDescent="0.35">
      <c r="A144" s="8"/>
      <c r="B144" s="26">
        <v>100</v>
      </c>
      <c r="C144" s="26">
        <f>IF(表5_710[[#This Row],[字典键]]="","",90200000+ROW()-4)</f>
        <v>90200140</v>
      </c>
      <c r="D144" s="7" t="s">
        <v>1536</v>
      </c>
      <c r="E144" s="49" t="s">
        <v>1526</v>
      </c>
      <c r="F144" s="7">
        <v>0</v>
      </c>
      <c r="G144" s="32" t="s">
        <v>1527</v>
      </c>
      <c r="H144" s="32"/>
      <c r="I144" s="34"/>
      <c r="J144" s="8"/>
    </row>
    <row r="145" spans="1:10" x14ac:dyDescent="0.35">
      <c r="A145" s="8"/>
      <c r="B145" s="26">
        <v>100</v>
      </c>
      <c r="C145" s="26">
        <f>IF(表5_710[[#This Row],[字典键]]="","",90200000+ROW()-4)</f>
        <v>90200141</v>
      </c>
      <c r="D145" s="7"/>
      <c r="E145" s="49" t="s">
        <v>1526</v>
      </c>
      <c r="F145" s="7">
        <v>1</v>
      </c>
      <c r="G145" s="32" t="s">
        <v>1528</v>
      </c>
      <c r="H145" s="32"/>
      <c r="I145" s="34"/>
      <c r="J145" s="8"/>
    </row>
    <row r="146" spans="1:10" x14ac:dyDescent="0.35">
      <c r="A146" s="8"/>
      <c r="B146" s="26">
        <v>100</v>
      </c>
      <c r="C146" s="26">
        <f>IF(表5_710[[#This Row],[字典键]]="","",90200000+ROW()-4)</f>
        <v>90200142</v>
      </c>
      <c r="D146" s="7"/>
      <c r="E146" s="49" t="s">
        <v>1526</v>
      </c>
      <c r="F146" s="7">
        <v>2</v>
      </c>
      <c r="G146" s="32" t="s">
        <v>1529</v>
      </c>
      <c r="H146" s="32"/>
      <c r="I146" s="34"/>
      <c r="J146" s="8"/>
    </row>
    <row r="147" spans="1:10" x14ac:dyDescent="0.35">
      <c r="A147" s="8"/>
      <c r="B147" s="26">
        <v>100</v>
      </c>
      <c r="C147" s="26">
        <f>IF(表5_710[[#This Row],[字典键]]="","",90200000+ROW()-4)</f>
        <v>90200143</v>
      </c>
      <c r="D147" s="7"/>
      <c r="E147" s="49" t="s">
        <v>1526</v>
      </c>
      <c r="F147" s="7">
        <v>3</v>
      </c>
      <c r="G147" s="32" t="s">
        <v>1530</v>
      </c>
      <c r="H147" s="32"/>
      <c r="I147" s="34"/>
      <c r="J147" s="8"/>
    </row>
    <row r="148" spans="1:10" x14ac:dyDescent="0.35">
      <c r="A148" s="8"/>
      <c r="B148" s="26">
        <v>100</v>
      </c>
      <c r="C148" s="26">
        <f>IF(表5_710[[#This Row],[字典键]]="","",90200000+ROW()-4)</f>
        <v>90200144</v>
      </c>
      <c r="D148" s="7"/>
      <c r="E148" s="49" t="s">
        <v>1526</v>
      </c>
      <c r="F148" s="7">
        <v>4</v>
      </c>
      <c r="G148" s="32" t="s">
        <v>1531</v>
      </c>
      <c r="H148" s="32"/>
      <c r="I148" s="34"/>
      <c r="J148" s="8"/>
    </row>
    <row r="149" spans="1:10" x14ac:dyDescent="0.35">
      <c r="A149" s="8"/>
      <c r="B149" s="26">
        <v>100</v>
      </c>
      <c r="C149" s="26">
        <f>IF(表5_710[[#This Row],[字典键]]="","",90200000+ROW()-4)</f>
        <v>90200145</v>
      </c>
      <c r="D149" s="7"/>
      <c r="E149" s="49" t="s">
        <v>1526</v>
      </c>
      <c r="F149" s="7">
        <v>9</v>
      </c>
      <c r="G149" s="32" t="s">
        <v>2794</v>
      </c>
      <c r="H149" s="32"/>
      <c r="I149" s="34"/>
      <c r="J149" s="8"/>
    </row>
    <row r="150" spans="1:10" x14ac:dyDescent="0.35">
      <c r="A150" s="8"/>
      <c r="B150" s="26">
        <v>100</v>
      </c>
      <c r="C150" s="26">
        <f>IF(表5_710[[#This Row],[字典键]]="","",90200000+ROW()-4)</f>
        <v>90200146</v>
      </c>
      <c r="D150" s="7"/>
      <c r="E150" s="49" t="s">
        <v>1526</v>
      </c>
      <c r="F150" s="7">
        <v>11</v>
      </c>
      <c r="G150" s="32" t="s">
        <v>1676</v>
      </c>
      <c r="H150" s="32"/>
      <c r="I150" s="34"/>
      <c r="J150" s="8"/>
    </row>
    <row r="151" spans="1:10" x14ac:dyDescent="0.35">
      <c r="A151" s="8"/>
      <c r="B151" s="26">
        <v>100</v>
      </c>
      <c r="C151" s="26">
        <f>IF(表5_710[[#This Row],[字典键]]="","",90200000+ROW()-4)</f>
        <v>90200147</v>
      </c>
      <c r="D151" s="7"/>
      <c r="E151" s="49" t="s">
        <v>1526</v>
      </c>
      <c r="F151" s="7">
        <v>12</v>
      </c>
      <c r="G151" s="32" t="s">
        <v>1678</v>
      </c>
      <c r="H151" s="32"/>
      <c r="I151" s="34"/>
      <c r="J151" s="8"/>
    </row>
    <row r="152" spans="1:10" x14ac:dyDescent="0.35">
      <c r="A152" s="8"/>
      <c r="B152" s="26">
        <v>100</v>
      </c>
      <c r="C152" s="26">
        <f>IF(表5_710[[#This Row],[字典键]]="","",90200000+ROW()-4)</f>
        <v>90200148</v>
      </c>
      <c r="D152" s="7"/>
      <c r="E152" s="49" t="s">
        <v>1526</v>
      </c>
      <c r="F152" s="7">
        <v>13</v>
      </c>
      <c r="G152" s="32" t="s">
        <v>1677</v>
      </c>
      <c r="H152" s="32"/>
      <c r="I152" s="34"/>
      <c r="J152" s="8"/>
    </row>
    <row r="153" spans="1:10" x14ac:dyDescent="0.35">
      <c r="A153" s="8"/>
      <c r="B153" s="26">
        <v>100</v>
      </c>
      <c r="C153" s="26">
        <f>IF(表5_710[[#This Row],[字典键]]="","",90200000+ROW()-4)</f>
        <v>90200149</v>
      </c>
      <c r="D153" s="7"/>
      <c r="E153" s="49" t="s">
        <v>1526</v>
      </c>
      <c r="F153" s="7">
        <v>14</v>
      </c>
      <c r="G153" s="32" t="s">
        <v>1679</v>
      </c>
      <c r="H153" s="32"/>
      <c r="I153" s="34"/>
      <c r="J153" s="8"/>
    </row>
    <row r="154" spans="1:10" x14ac:dyDescent="0.35">
      <c r="A154" s="8"/>
      <c r="B154" s="26">
        <v>100</v>
      </c>
      <c r="C154" s="26">
        <f>IF(表5_710[[#This Row],[字典键]]="","",90200000+ROW()-4)</f>
        <v>90200150</v>
      </c>
      <c r="D154" s="7"/>
      <c r="E154" s="49" t="s">
        <v>1526</v>
      </c>
      <c r="F154" s="7">
        <v>19</v>
      </c>
      <c r="G154" s="32" t="s">
        <v>2795</v>
      </c>
      <c r="H154" s="32"/>
      <c r="I154" s="34"/>
      <c r="J154" s="8"/>
    </row>
    <row r="155" spans="1:10" x14ac:dyDescent="0.35">
      <c r="A155" s="8"/>
      <c r="B155" s="39">
        <v>100</v>
      </c>
      <c r="C155" s="26">
        <f>IF(表5_710[[#This Row],[字典键]]="","",90200000+ROW()-4)</f>
        <v>90200151</v>
      </c>
      <c r="D155" s="7" t="s">
        <v>3138</v>
      </c>
      <c r="E155" s="49" t="s">
        <v>3137</v>
      </c>
      <c r="F155" s="7">
        <v>0</v>
      </c>
      <c r="G155" s="32" t="s">
        <v>3142</v>
      </c>
      <c r="H155" s="32"/>
      <c r="I155" s="34"/>
      <c r="J155" s="8"/>
    </row>
    <row r="156" spans="1:10" x14ac:dyDescent="0.35">
      <c r="A156" s="8"/>
      <c r="B156" s="26">
        <v>100</v>
      </c>
      <c r="C156" s="26">
        <f>IF(表5_710[[#This Row],[字典键]]="","",90200000+ROW()-4)</f>
        <v>90200152</v>
      </c>
      <c r="D156" s="7" t="s">
        <v>3139</v>
      </c>
      <c r="E156" s="49" t="s">
        <v>3137</v>
      </c>
      <c r="F156" s="7">
        <v>1</v>
      </c>
      <c r="G156" s="32" t="s">
        <v>3143</v>
      </c>
      <c r="H156" s="32"/>
      <c r="I156" s="34"/>
      <c r="J156" s="8"/>
    </row>
    <row r="157" spans="1:10" x14ac:dyDescent="0.35">
      <c r="A157" s="8"/>
      <c r="B157" s="26">
        <v>100</v>
      </c>
      <c r="C157" s="26">
        <f>IF(表5_710[[#This Row],[字典键]]="","",90200000+ROW()-4)</f>
        <v>90200153</v>
      </c>
      <c r="D157" s="7" t="s">
        <v>3140</v>
      </c>
      <c r="E157" s="49" t="s">
        <v>3137</v>
      </c>
      <c r="F157" s="7">
        <v>2</v>
      </c>
      <c r="G157" s="32" t="s">
        <v>3144</v>
      </c>
      <c r="H157" s="32"/>
      <c r="I157" s="34"/>
      <c r="J157" s="8"/>
    </row>
    <row r="158" spans="1:10" x14ac:dyDescent="0.35">
      <c r="A158" s="8"/>
      <c r="B158" s="26">
        <v>100</v>
      </c>
      <c r="C158" s="26">
        <f>IF(表5_710[[#This Row],[字典键]]="","",90200000+ROW()-4)</f>
        <v>90200154</v>
      </c>
      <c r="D158" s="7" t="s">
        <v>3141</v>
      </c>
      <c r="E158" s="49" t="s">
        <v>3137</v>
      </c>
      <c r="F158" s="7">
        <v>3</v>
      </c>
      <c r="G158" s="32" t="s">
        <v>3145</v>
      </c>
      <c r="H158" s="32"/>
      <c r="I158" s="34"/>
      <c r="J158" s="8"/>
    </row>
    <row r="159" spans="1:10" x14ac:dyDescent="0.35">
      <c r="A159" s="8"/>
      <c r="B159" s="26">
        <v>100</v>
      </c>
      <c r="C159" s="26">
        <f>IF(表5_710[[#This Row],[字典键]]="","",90200000+ROW()-4)</f>
        <v>90200155</v>
      </c>
      <c r="D159" s="7" t="s">
        <v>1654</v>
      </c>
      <c r="E159" s="49" t="s">
        <v>1650</v>
      </c>
      <c r="F159" s="7">
        <v>1</v>
      </c>
      <c r="G159" s="32" t="s">
        <v>1656</v>
      </c>
      <c r="H159" s="32" t="s">
        <v>1651</v>
      </c>
      <c r="I159" s="34"/>
      <c r="J159" s="8"/>
    </row>
    <row r="160" spans="1:10" x14ac:dyDescent="0.35">
      <c r="A160" s="8"/>
      <c r="B160" s="26">
        <v>100</v>
      </c>
      <c r="C160" s="26">
        <f>IF(表5_710[[#This Row],[字典键]]="","",90200000+ROW()-4)</f>
        <v>90200156</v>
      </c>
      <c r="D160" s="7" t="s">
        <v>1655</v>
      </c>
      <c r="E160" s="49" t="s">
        <v>1650</v>
      </c>
      <c r="F160" s="7">
        <v>0</v>
      </c>
      <c r="G160" s="32" t="s">
        <v>1657</v>
      </c>
      <c r="H160" s="32" t="s">
        <v>1652</v>
      </c>
      <c r="I160" s="34"/>
      <c r="J160" s="8"/>
    </row>
    <row r="161" spans="1:10" x14ac:dyDescent="0.35">
      <c r="A161" s="8"/>
      <c r="B161" s="26">
        <v>100</v>
      </c>
      <c r="C161" s="26">
        <f>IF(表5_710[[#This Row],[字典键]]="","",90200000+ROW()-4)</f>
        <v>90200157</v>
      </c>
      <c r="D161" s="7" t="s">
        <v>1169</v>
      </c>
      <c r="E161" s="49" t="s">
        <v>1106</v>
      </c>
      <c r="F161" s="7">
        <v>0</v>
      </c>
      <c r="G161" s="32" t="s">
        <v>1149</v>
      </c>
      <c r="H161" s="32" t="s">
        <v>1181</v>
      </c>
      <c r="I161" s="34"/>
      <c r="J161" s="8"/>
    </row>
    <row r="162" spans="1:10" x14ac:dyDescent="0.35">
      <c r="A162" s="8"/>
      <c r="B162" s="26">
        <v>100</v>
      </c>
      <c r="C162" s="26">
        <f>IF(表5_710[[#This Row],[字典键]]="","",90200000+ROW()-4)</f>
        <v>90200158</v>
      </c>
      <c r="D162" s="7" t="s">
        <v>1170</v>
      </c>
      <c r="E162" s="49" t="s">
        <v>1106</v>
      </c>
      <c r="F162" s="7">
        <v>1</v>
      </c>
      <c r="G162" s="32" t="s">
        <v>1148</v>
      </c>
      <c r="H162" s="32" t="s">
        <v>1182</v>
      </c>
      <c r="I162" s="34"/>
      <c r="J162" s="8"/>
    </row>
    <row r="163" spans="1:10" x14ac:dyDescent="0.35">
      <c r="A163" s="8"/>
      <c r="B163" s="26">
        <v>100</v>
      </c>
      <c r="C163" s="26">
        <f>IF(表5_710[[#This Row],[字典键]]="","",90200000+ROW()-4)</f>
        <v>90200159</v>
      </c>
      <c r="D163" s="7" t="s">
        <v>1171</v>
      </c>
      <c r="E163" s="49" t="s">
        <v>1106</v>
      </c>
      <c r="F163" s="26">
        <v>11</v>
      </c>
      <c r="G163" s="32" t="s">
        <v>1150</v>
      </c>
      <c r="H163" s="32" t="s">
        <v>1160</v>
      </c>
      <c r="I163" s="34"/>
      <c r="J163" s="8"/>
    </row>
    <row r="164" spans="1:10" x14ac:dyDescent="0.35">
      <c r="A164" s="8"/>
      <c r="B164" s="26">
        <v>100</v>
      </c>
      <c r="C164" s="26">
        <f>IF(表5_710[[#This Row],[字典键]]="","",90200000+ROW()-4)</f>
        <v>90200160</v>
      </c>
      <c r="D164" s="7" t="s">
        <v>1173</v>
      </c>
      <c r="E164" s="49" t="s">
        <v>1106</v>
      </c>
      <c r="F164" s="26">
        <v>12</v>
      </c>
      <c r="G164" s="32" t="s">
        <v>1151</v>
      </c>
      <c r="H164" s="32" t="s">
        <v>1161</v>
      </c>
      <c r="I164" s="34"/>
      <c r="J164" s="8"/>
    </row>
    <row r="165" spans="1:10" x14ac:dyDescent="0.35">
      <c r="A165" s="8"/>
      <c r="B165" s="26">
        <v>100</v>
      </c>
      <c r="C165" s="26">
        <f>IF(表5_710[[#This Row],[字典键]]="","",90200000+ROW()-4)</f>
        <v>90200161</v>
      </c>
      <c r="D165" s="7" t="s">
        <v>1174</v>
      </c>
      <c r="E165" s="49" t="s">
        <v>1106</v>
      </c>
      <c r="F165" s="26">
        <v>13</v>
      </c>
      <c r="G165" s="32" t="s">
        <v>1152</v>
      </c>
      <c r="H165" s="32" t="s">
        <v>1162</v>
      </c>
      <c r="I165" s="34"/>
      <c r="J165" s="8"/>
    </row>
    <row r="166" spans="1:10" x14ac:dyDescent="0.35">
      <c r="A166" s="8"/>
      <c r="B166" s="26">
        <v>100</v>
      </c>
      <c r="C166" s="26">
        <f>IF(表5_710[[#This Row],[字典键]]="","",90200000+ROW()-4)</f>
        <v>90200162</v>
      </c>
      <c r="D166" s="7" t="s">
        <v>1374</v>
      </c>
      <c r="E166" s="49" t="s">
        <v>1106</v>
      </c>
      <c r="F166" s="26">
        <v>14</v>
      </c>
      <c r="G166" s="32" t="s">
        <v>1375</v>
      </c>
      <c r="H166" s="32" t="s">
        <v>1376</v>
      </c>
      <c r="I166" s="34"/>
      <c r="J166" s="8"/>
    </row>
    <row r="167" spans="1:10" x14ac:dyDescent="0.35">
      <c r="A167" s="8"/>
      <c r="B167" s="26">
        <v>100</v>
      </c>
      <c r="C167" s="26">
        <f>IF(表5_710[[#This Row],[字典键]]="","",90200000+ROW()-4)</f>
        <v>90200163</v>
      </c>
      <c r="D167" s="7" t="s">
        <v>1175</v>
      </c>
      <c r="E167" s="49" t="s">
        <v>1106</v>
      </c>
      <c r="F167" s="26">
        <v>15</v>
      </c>
      <c r="G167" s="32" t="s">
        <v>1154</v>
      </c>
      <c r="H167" s="32" t="s">
        <v>1163</v>
      </c>
      <c r="I167" s="34"/>
      <c r="J167" s="8"/>
    </row>
    <row r="168" spans="1:10" x14ac:dyDescent="0.35">
      <c r="A168" s="8"/>
      <c r="B168" s="26">
        <v>100</v>
      </c>
      <c r="C168" s="26">
        <f>IF(表5_710[[#This Row],[字典键]]="","",90200000+ROW()-4)</f>
        <v>90200164</v>
      </c>
      <c r="D168" s="7" t="s">
        <v>1176</v>
      </c>
      <c r="E168" s="49" t="s">
        <v>1106</v>
      </c>
      <c r="F168" s="26">
        <v>16</v>
      </c>
      <c r="G168" s="32" t="s">
        <v>1155</v>
      </c>
      <c r="H168" s="32" t="s">
        <v>1164</v>
      </c>
      <c r="I168" s="34"/>
      <c r="J168" s="8"/>
    </row>
    <row r="169" spans="1:10" x14ac:dyDescent="0.35">
      <c r="A169" s="8"/>
      <c r="B169" s="26">
        <v>100</v>
      </c>
      <c r="C169" s="26">
        <f>IF(表5_710[[#This Row],[字典键]]="","",90200000+ROW()-4)</f>
        <v>90200165</v>
      </c>
      <c r="D169" s="7" t="s">
        <v>1177</v>
      </c>
      <c r="E169" s="49" t="s">
        <v>1106</v>
      </c>
      <c r="F169" s="26">
        <v>21</v>
      </c>
      <c r="G169" s="32" t="s">
        <v>1156</v>
      </c>
      <c r="H169" s="32" t="s">
        <v>1165</v>
      </c>
      <c r="I169" s="34"/>
      <c r="J169" s="8"/>
    </row>
    <row r="170" spans="1:10" x14ac:dyDescent="0.35">
      <c r="A170" s="8"/>
      <c r="B170" s="26">
        <v>100</v>
      </c>
      <c r="C170" s="26">
        <f>IF(表5_710[[#This Row],[字典键]]="","",90200000+ROW()-4)</f>
        <v>90200166</v>
      </c>
      <c r="D170" s="7" t="s">
        <v>1178</v>
      </c>
      <c r="E170" s="49" t="s">
        <v>1106</v>
      </c>
      <c r="F170" s="26">
        <v>22</v>
      </c>
      <c r="G170" s="32" t="s">
        <v>1157</v>
      </c>
      <c r="H170" s="32" t="s">
        <v>1166</v>
      </c>
      <c r="I170" s="34"/>
      <c r="J170" s="8"/>
    </row>
    <row r="171" spans="1:10" x14ac:dyDescent="0.35">
      <c r="A171" s="8"/>
      <c r="B171" s="26">
        <v>100</v>
      </c>
      <c r="C171" s="26">
        <f>IF(表5_710[[#This Row],[字典键]]="","",90200000+ROW()-4)</f>
        <v>90200167</v>
      </c>
      <c r="D171" s="7" t="s">
        <v>1179</v>
      </c>
      <c r="E171" s="49" t="s">
        <v>1106</v>
      </c>
      <c r="F171" s="7">
        <v>23</v>
      </c>
      <c r="G171" s="32" t="s">
        <v>1158</v>
      </c>
      <c r="H171" s="32" t="s">
        <v>1167</v>
      </c>
      <c r="I171" s="34"/>
      <c r="J171" s="8"/>
    </row>
    <row r="172" spans="1:10" x14ac:dyDescent="0.35">
      <c r="A172" s="8"/>
      <c r="B172" s="26">
        <v>100</v>
      </c>
      <c r="C172" s="26">
        <f>IF(表5_710[[#This Row],[字典键]]="","",90200000+ROW()-4)</f>
        <v>90200168</v>
      </c>
      <c r="D172" s="7" t="s">
        <v>1180</v>
      </c>
      <c r="E172" s="49" t="s">
        <v>1106</v>
      </c>
      <c r="F172" s="7">
        <v>24</v>
      </c>
      <c r="G172" s="32" t="s">
        <v>1159</v>
      </c>
      <c r="H172" s="32" t="s">
        <v>1168</v>
      </c>
      <c r="I172" s="34"/>
      <c r="J172" s="8"/>
    </row>
    <row r="173" spans="1:10" x14ac:dyDescent="0.35">
      <c r="A173" s="8"/>
      <c r="B173" s="26">
        <v>100</v>
      </c>
      <c r="C173" s="26">
        <f>IF(表5_710[[#This Row],[字典键]]="","",90200000+ROW()-4)</f>
        <v>90200169</v>
      </c>
      <c r="D173" s="7"/>
      <c r="E173" s="49" t="s">
        <v>1199</v>
      </c>
      <c r="F173" s="7">
        <v>100</v>
      </c>
      <c r="G173" s="32" t="s">
        <v>3161</v>
      </c>
      <c r="H173" s="32"/>
      <c r="I173" s="34"/>
      <c r="J173" s="8"/>
    </row>
    <row r="174" spans="1:10" x14ac:dyDescent="0.35">
      <c r="A174" s="8"/>
      <c r="B174" s="26">
        <v>100</v>
      </c>
      <c r="C174" s="26">
        <f>IF(表5_710[[#This Row],[字典键]]="","",90200000+ROW()-4)</f>
        <v>90200170</v>
      </c>
      <c r="D174" s="7" t="s">
        <v>1208</v>
      </c>
      <c r="E174" s="49" t="s">
        <v>1199</v>
      </c>
      <c r="F174" s="7">
        <v>101</v>
      </c>
      <c r="G174" s="32" t="s">
        <v>1203</v>
      </c>
      <c r="H174" s="32" t="s">
        <v>1204</v>
      </c>
      <c r="I174" s="34" t="s">
        <v>1212</v>
      </c>
      <c r="J174" s="8"/>
    </row>
    <row r="175" spans="1:10" x14ac:dyDescent="0.35">
      <c r="A175" s="8"/>
      <c r="B175" s="26">
        <v>100</v>
      </c>
      <c r="C175" s="26">
        <f>IF(表5_710[[#This Row],[字典键]]="","",90200000+ROW()-4)</f>
        <v>90200171</v>
      </c>
      <c r="D175" s="7" t="s">
        <v>1209</v>
      </c>
      <c r="E175" s="49" t="s">
        <v>1199</v>
      </c>
      <c r="F175" s="7">
        <v>102</v>
      </c>
      <c r="G175" s="32" t="s">
        <v>1200</v>
      </c>
      <c r="H175" s="32" t="s">
        <v>1205</v>
      </c>
      <c r="I175" s="34" t="s">
        <v>1213</v>
      </c>
      <c r="J175" s="8"/>
    </row>
    <row r="176" spans="1:10" x14ac:dyDescent="0.35">
      <c r="A176" s="8"/>
      <c r="B176" s="26">
        <v>100</v>
      </c>
      <c r="C176" s="26">
        <f>IF(表5_710[[#This Row],[字典键]]="","",90200000+ROW()-4)</f>
        <v>90200172</v>
      </c>
      <c r="D176" s="7" t="s">
        <v>1210</v>
      </c>
      <c r="E176" s="49" t="s">
        <v>1199</v>
      </c>
      <c r="F176" s="7">
        <v>103</v>
      </c>
      <c r="G176" s="32" t="s">
        <v>1201</v>
      </c>
      <c r="H176" s="32" t="s">
        <v>1206</v>
      </c>
      <c r="I176" s="34" t="s">
        <v>1214</v>
      </c>
      <c r="J176" s="8"/>
    </row>
    <row r="177" spans="1:10" x14ac:dyDescent="0.35">
      <c r="A177" s="8"/>
      <c r="B177" s="26">
        <v>100</v>
      </c>
      <c r="C177" s="26">
        <f>IF(表5_710[[#This Row],[字典键]]="","",90200000+ROW()-4)</f>
        <v>90200173</v>
      </c>
      <c r="D177" s="7" t="s">
        <v>1211</v>
      </c>
      <c r="E177" s="49" t="s">
        <v>1199</v>
      </c>
      <c r="F177" s="7">
        <v>104</v>
      </c>
      <c r="G177" s="32" t="s">
        <v>1202</v>
      </c>
      <c r="H177" s="32" t="s">
        <v>1207</v>
      </c>
      <c r="I177" s="34" t="s">
        <v>1215</v>
      </c>
      <c r="J177" s="8"/>
    </row>
    <row r="178" spans="1:10" x14ac:dyDescent="0.35">
      <c r="A178" s="8"/>
      <c r="B178" s="26">
        <v>100</v>
      </c>
      <c r="C178" s="26">
        <f>IF(表5_710[[#This Row],[字典键]]="","",90200000+ROW()-4)</f>
        <v>90200174</v>
      </c>
      <c r="D178" s="7" t="s">
        <v>3165</v>
      </c>
      <c r="E178" s="49" t="s">
        <v>1199</v>
      </c>
      <c r="F178" s="7">
        <v>105</v>
      </c>
      <c r="G178" s="32" t="s">
        <v>3162</v>
      </c>
      <c r="H178" s="32" t="s">
        <v>3163</v>
      </c>
      <c r="I178" s="34" t="s">
        <v>3164</v>
      </c>
      <c r="J178" s="8"/>
    </row>
    <row r="179" spans="1:10" x14ac:dyDescent="0.35">
      <c r="A179" s="8"/>
      <c r="B179" s="26">
        <v>100</v>
      </c>
      <c r="C179" s="26">
        <f>IF(表5_710[[#This Row],[字典键]]="","",90200000+ROW()-4)</f>
        <v>90200175</v>
      </c>
      <c r="D179" s="7"/>
      <c r="E179" s="49" t="s">
        <v>3111</v>
      </c>
      <c r="F179" s="7">
        <v>0</v>
      </c>
      <c r="G179" s="32" t="s">
        <v>3112</v>
      </c>
      <c r="H179" s="32" t="s">
        <v>3114</v>
      </c>
      <c r="I179" s="34" t="s">
        <v>3113</v>
      </c>
      <c r="J179" s="8" t="s">
        <v>3115</v>
      </c>
    </row>
    <row r="180" spans="1:10" x14ac:dyDescent="0.35">
      <c r="A180" s="8"/>
      <c r="B180" s="26">
        <v>100</v>
      </c>
      <c r="C180" s="26">
        <f>IF(表5_710[[#This Row],[字典键]]="","",90200000+ROW()-4)</f>
        <v>90200176</v>
      </c>
      <c r="D180" s="7"/>
      <c r="E180" s="49" t="s">
        <v>3111</v>
      </c>
      <c r="F180" s="7">
        <v>1001</v>
      </c>
      <c r="G180" s="34" t="s">
        <v>3116</v>
      </c>
      <c r="H180" s="34"/>
      <c r="I180" s="34"/>
      <c r="J180" s="8"/>
    </row>
    <row r="181" spans="1:10" x14ac:dyDescent="0.35">
      <c r="A181" s="8"/>
      <c r="B181" s="26">
        <v>100</v>
      </c>
      <c r="C181" s="26">
        <f>IF(表5_710[[#This Row],[字典键]]="","",90200000+ROW()-4)</f>
        <v>90200177</v>
      </c>
      <c r="D181" s="7"/>
      <c r="E181" s="49" t="s">
        <v>3111</v>
      </c>
      <c r="F181" s="7">
        <v>1002</v>
      </c>
      <c r="G181" s="34" t="s">
        <v>3117</v>
      </c>
      <c r="H181" s="34"/>
      <c r="I181" s="34"/>
      <c r="J181" s="8"/>
    </row>
    <row r="182" spans="1:10" x14ac:dyDescent="0.35">
      <c r="A182" s="8"/>
      <c r="B182" s="26">
        <v>100</v>
      </c>
      <c r="C182" s="26">
        <f>IF(表5_710[[#This Row],[字典键]]="","",90200000+ROW()-4)</f>
        <v>90200178</v>
      </c>
      <c r="D182" s="7"/>
      <c r="E182" s="49" t="s">
        <v>3111</v>
      </c>
      <c r="F182" s="7">
        <v>1003</v>
      </c>
      <c r="G182" s="34" t="s">
        <v>3118</v>
      </c>
      <c r="H182" s="34"/>
      <c r="I182" s="34"/>
      <c r="J182" s="8"/>
    </row>
    <row r="183" spans="1:10" x14ac:dyDescent="0.35">
      <c r="A183" s="8"/>
      <c r="B183" s="26">
        <v>100</v>
      </c>
      <c r="C183" s="26">
        <f>IF(表5_710[[#This Row],[字典键]]="","",90200000+ROW()-4)</f>
        <v>90200179</v>
      </c>
      <c r="D183" s="7"/>
      <c r="E183" s="49" t="s">
        <v>3111</v>
      </c>
      <c r="F183" s="7">
        <v>1011</v>
      </c>
      <c r="G183" s="34" t="s">
        <v>3203</v>
      </c>
      <c r="H183" s="34" t="s">
        <v>3204</v>
      </c>
      <c r="I183" s="34"/>
      <c r="J183" s="34" t="s">
        <v>3205</v>
      </c>
    </row>
    <row r="184" spans="1:10" x14ac:dyDescent="0.35">
      <c r="A184" s="8"/>
      <c r="B184" s="26">
        <v>100</v>
      </c>
      <c r="C184" s="26">
        <f>IF(表5_710[[#This Row],[字典键]]="","",90200000+ROW()-4)</f>
        <v>90200180</v>
      </c>
      <c r="D184" s="7"/>
      <c r="E184" s="49" t="s">
        <v>3111</v>
      </c>
      <c r="F184" s="7">
        <v>1012</v>
      </c>
      <c r="G184" s="34" t="s">
        <v>3168</v>
      </c>
      <c r="H184" s="34"/>
      <c r="I184" s="34"/>
      <c r="J184" s="34" t="s">
        <v>3169</v>
      </c>
    </row>
    <row r="185" spans="1:10" x14ac:dyDescent="0.35">
      <c r="A185" s="8"/>
      <c r="B185" s="26">
        <v>100</v>
      </c>
      <c r="C185" s="26">
        <f>IF(表5_710[[#This Row],[字典键]]="","",90200000+ROW()-4)</f>
        <v>90200181</v>
      </c>
      <c r="D185" s="7"/>
      <c r="E185" s="49" t="s">
        <v>3111</v>
      </c>
      <c r="F185" s="7">
        <v>1021</v>
      </c>
      <c r="G185" s="34" t="s">
        <v>3170</v>
      </c>
      <c r="H185" s="34"/>
      <c r="I185" s="34"/>
      <c r="J185" s="34" t="s">
        <v>3171</v>
      </c>
    </row>
    <row r="186" spans="1:10" x14ac:dyDescent="0.35">
      <c r="A186" s="8"/>
      <c r="B186" s="26">
        <v>100</v>
      </c>
      <c r="C186" s="26">
        <f>IF(表5_710[[#This Row],[字典键]]="","",90200000+ROW()-4)</f>
        <v>90200182</v>
      </c>
      <c r="D186" s="7"/>
      <c r="E186" s="49" t="s">
        <v>3111</v>
      </c>
      <c r="F186" s="7">
        <v>1022</v>
      </c>
      <c r="G186" s="34" t="s">
        <v>3172</v>
      </c>
      <c r="H186" s="34"/>
      <c r="I186" s="34"/>
      <c r="J186" s="34" t="s">
        <v>3171</v>
      </c>
    </row>
    <row r="187" spans="1:10" x14ac:dyDescent="0.35">
      <c r="A187" s="8"/>
      <c r="B187" s="26">
        <v>100</v>
      </c>
      <c r="C187" s="26">
        <f>IF(表5_710[[#This Row],[字典键]]="","",90200000+ROW()-4)</f>
        <v>90200183</v>
      </c>
      <c r="D187" s="7"/>
      <c r="E187" s="49" t="s">
        <v>3111</v>
      </c>
      <c r="F187" s="7">
        <v>1023</v>
      </c>
      <c r="G187" s="34" t="s">
        <v>3173</v>
      </c>
      <c r="H187" s="34"/>
      <c r="I187" s="34"/>
      <c r="J187" s="34" t="s">
        <v>3171</v>
      </c>
    </row>
    <row r="188" spans="1:10" x14ac:dyDescent="0.35">
      <c r="A188" s="8"/>
      <c r="B188" s="26">
        <v>100</v>
      </c>
      <c r="C188" s="26">
        <f>IF(表5_710[[#This Row],[字典键]]="","",90200000+ROW()-4)</f>
        <v>90200184</v>
      </c>
      <c r="D188" s="7"/>
      <c r="E188" s="49" t="s">
        <v>3111</v>
      </c>
      <c r="F188" s="7">
        <v>1024</v>
      </c>
      <c r="G188" s="34" t="s">
        <v>3173</v>
      </c>
      <c r="H188" s="34"/>
      <c r="I188" s="34"/>
      <c r="J188" s="34" t="s">
        <v>3171</v>
      </c>
    </row>
    <row r="189" spans="1:10" x14ac:dyDescent="0.35">
      <c r="A189" s="8"/>
      <c r="B189" s="26">
        <v>100</v>
      </c>
      <c r="C189" s="26">
        <f>IF(表5_710[[#This Row],[字典键]]="","",90200000+ROW()-4)</f>
        <v>90200185</v>
      </c>
      <c r="D189" s="7"/>
      <c r="E189" s="49" t="s">
        <v>3111</v>
      </c>
      <c r="F189" s="7">
        <v>1025</v>
      </c>
      <c r="G189" s="34" t="s">
        <v>3174</v>
      </c>
      <c r="H189" s="34"/>
      <c r="I189" s="34"/>
      <c r="J189" s="34" t="s">
        <v>3169</v>
      </c>
    </row>
    <row r="190" spans="1:10" x14ac:dyDescent="0.35">
      <c r="A190" s="8"/>
      <c r="B190" s="26">
        <v>100</v>
      </c>
      <c r="C190" s="26">
        <f>IF(表5_710[[#This Row],[字典键]]="","",90200000+ROW()-4)</f>
        <v>90200186</v>
      </c>
      <c r="D190" s="7"/>
      <c r="E190" s="49" t="s">
        <v>3111</v>
      </c>
      <c r="F190" s="7">
        <v>1031</v>
      </c>
      <c r="G190" s="34" t="s">
        <v>3175</v>
      </c>
      <c r="H190" s="34"/>
      <c r="I190" s="34" t="s">
        <v>3176</v>
      </c>
      <c r="J190" s="8" t="s">
        <v>3177</v>
      </c>
    </row>
    <row r="191" spans="1:10" x14ac:dyDescent="0.35">
      <c r="A191" s="8"/>
      <c r="B191" s="26">
        <v>100</v>
      </c>
      <c r="C191" s="26">
        <f>IF(表5_710[[#This Row],[字典键]]="","",90200000+ROW()-4)</f>
        <v>90200187</v>
      </c>
      <c r="D191" s="7"/>
      <c r="E191" s="49" t="s">
        <v>3111</v>
      </c>
      <c r="F191" s="7">
        <v>1032</v>
      </c>
      <c r="G191" s="34" t="s">
        <v>3119</v>
      </c>
      <c r="H191" s="34"/>
      <c r="I191" s="34" t="s">
        <v>3121</v>
      </c>
      <c r="J191" s="8"/>
    </row>
    <row r="192" spans="1:10" x14ac:dyDescent="0.35">
      <c r="A192" s="8"/>
      <c r="B192" s="26">
        <v>100</v>
      </c>
      <c r="C192" s="26">
        <f>IF(表5_710[[#This Row],[字典键]]="","",90200000+ROW()-4)</f>
        <v>90200188</v>
      </c>
      <c r="D192" s="7"/>
      <c r="E192" s="49" t="s">
        <v>3111</v>
      </c>
      <c r="F192" s="7">
        <v>2000</v>
      </c>
      <c r="G192" s="34" t="s">
        <v>3120</v>
      </c>
      <c r="H192" s="34"/>
      <c r="I192" s="34"/>
      <c r="J192" s="8"/>
    </row>
    <row r="193" spans="1:10" x14ac:dyDescent="0.35">
      <c r="A193" s="8"/>
      <c r="B193" s="26">
        <v>100</v>
      </c>
      <c r="C193" s="26">
        <f>IF(表5_710[[#This Row],[字典键]]="","",90200000+ROW()-4)</f>
        <v>90200189</v>
      </c>
      <c r="D193" s="7"/>
      <c r="E193" s="49" t="s">
        <v>3111</v>
      </c>
      <c r="F193" s="7">
        <v>2001</v>
      </c>
      <c r="G193" s="34" t="s">
        <v>3178</v>
      </c>
      <c r="H193" s="34"/>
      <c r="I193" s="34"/>
      <c r="J193" s="34" t="s">
        <v>3179</v>
      </c>
    </row>
    <row r="194" spans="1:10" x14ac:dyDescent="0.35">
      <c r="A194" s="8"/>
      <c r="B194" s="26">
        <v>100</v>
      </c>
      <c r="C194" s="26">
        <f>IF(表5_710[[#This Row],[字典键]]="","",90200000+ROW()-4)</f>
        <v>90200190</v>
      </c>
      <c r="D194" s="7"/>
      <c r="E194" s="49" t="s">
        <v>3111</v>
      </c>
      <c r="F194" s="7">
        <v>2002</v>
      </c>
      <c r="G194" s="34" t="s">
        <v>3178</v>
      </c>
      <c r="H194" s="34"/>
      <c r="I194" s="34"/>
      <c r="J194" s="34" t="s">
        <v>3180</v>
      </c>
    </row>
    <row r="195" spans="1:10" x14ac:dyDescent="0.35">
      <c r="A195" s="8"/>
      <c r="B195" s="26">
        <v>100</v>
      </c>
      <c r="C195" s="26">
        <f>IF(表5_710[[#This Row],[字典键]]="","",90200000+ROW()-4)</f>
        <v>90200191</v>
      </c>
      <c r="D195" s="7"/>
      <c r="E195" s="49" t="s">
        <v>3111</v>
      </c>
      <c r="F195" s="7">
        <v>2003</v>
      </c>
      <c r="G195" s="34" t="s">
        <v>3178</v>
      </c>
      <c r="H195" s="34"/>
      <c r="I195" s="34"/>
      <c r="J195" s="34" t="s">
        <v>3169</v>
      </c>
    </row>
    <row r="196" spans="1:10" x14ac:dyDescent="0.35">
      <c r="A196" s="8"/>
      <c r="B196" s="26">
        <v>100</v>
      </c>
      <c r="C196" s="26">
        <f>IF(表5_710[[#This Row],[字典键]]="","",90200000+ROW()-4)</f>
        <v>90200192</v>
      </c>
      <c r="D196" s="7"/>
      <c r="E196" s="49" t="s">
        <v>3111</v>
      </c>
      <c r="F196" s="7">
        <v>2004</v>
      </c>
      <c r="G196" s="34" t="s">
        <v>3181</v>
      </c>
      <c r="H196" s="34" t="s">
        <v>3182</v>
      </c>
      <c r="I196" s="34"/>
      <c r="J196" s="34" t="s">
        <v>3183</v>
      </c>
    </row>
    <row r="197" spans="1:10" x14ac:dyDescent="0.35">
      <c r="A197" s="8"/>
      <c r="B197" s="26">
        <v>100</v>
      </c>
      <c r="C197" s="26">
        <f>IF(表5_710[[#This Row],[字典键]]="","",90200000+ROW()-4)</f>
        <v>90200193</v>
      </c>
      <c r="D197" s="7"/>
      <c r="E197" s="49" t="s">
        <v>3111</v>
      </c>
      <c r="F197" s="7">
        <v>2005</v>
      </c>
      <c r="G197" s="34" t="s">
        <v>3184</v>
      </c>
      <c r="H197" s="34"/>
      <c r="I197" s="34"/>
      <c r="J197" s="34" t="s">
        <v>3171</v>
      </c>
    </row>
    <row r="198" spans="1:10" x14ac:dyDescent="0.35">
      <c r="A198" s="8"/>
      <c r="B198" s="26">
        <v>100</v>
      </c>
      <c r="C198" s="26">
        <f>IF(表5_710[[#This Row],[字典键]]="","",90200000+ROW()-4)</f>
        <v>90200194</v>
      </c>
      <c r="D198" s="7"/>
      <c r="E198" s="49" t="s">
        <v>3111</v>
      </c>
      <c r="F198" s="7">
        <v>2011</v>
      </c>
      <c r="G198" s="34" t="s">
        <v>3122</v>
      </c>
      <c r="H198" s="34"/>
      <c r="I198" s="34"/>
      <c r="J198" s="8"/>
    </row>
    <row r="199" spans="1:10" x14ac:dyDescent="0.35">
      <c r="A199" s="8"/>
      <c r="B199" s="26">
        <v>100</v>
      </c>
      <c r="C199" s="26">
        <f>IF(表5_710[[#This Row],[字典键]]="","",90200000+ROW()-4)</f>
        <v>90200195</v>
      </c>
      <c r="D199" s="7"/>
      <c r="E199" s="49" t="s">
        <v>3111</v>
      </c>
      <c r="F199" s="7">
        <v>2012</v>
      </c>
      <c r="G199" s="34" t="s">
        <v>3185</v>
      </c>
      <c r="H199" s="34"/>
      <c r="I199" s="34"/>
      <c r="J199" s="8" t="s">
        <v>3186</v>
      </c>
    </row>
    <row r="200" spans="1:10" x14ac:dyDescent="0.35">
      <c r="A200" s="8"/>
      <c r="B200" s="26">
        <v>100</v>
      </c>
      <c r="C200" s="26">
        <f>IF(表5_710[[#This Row],[字典键]]="","",90200000+ROW()-4)</f>
        <v>90200196</v>
      </c>
      <c r="D200" s="7"/>
      <c r="E200" s="49" t="s">
        <v>3111</v>
      </c>
      <c r="F200" s="7">
        <v>2013</v>
      </c>
      <c r="G200" s="34" t="s">
        <v>3187</v>
      </c>
      <c r="H200" s="34"/>
      <c r="I200" s="34"/>
      <c r="J200" s="8" t="s">
        <v>3188</v>
      </c>
    </row>
    <row r="201" spans="1:10" x14ac:dyDescent="0.35">
      <c r="A201" s="8"/>
      <c r="B201" s="26">
        <v>100</v>
      </c>
      <c r="C201" s="26">
        <f>IF(表5_710[[#This Row],[字典键]]="","",90200000+ROW()-4)</f>
        <v>90200197</v>
      </c>
      <c r="D201" s="7"/>
      <c r="E201" s="49" t="s">
        <v>3111</v>
      </c>
      <c r="F201" s="7">
        <v>2014</v>
      </c>
      <c r="G201" s="34" t="s">
        <v>3189</v>
      </c>
      <c r="H201" s="34"/>
      <c r="I201" s="34"/>
      <c r="J201" s="8" t="s">
        <v>3188</v>
      </c>
    </row>
    <row r="202" spans="1:10" x14ac:dyDescent="0.35">
      <c r="A202" s="8"/>
      <c r="B202" s="26">
        <v>100</v>
      </c>
      <c r="C202" s="26">
        <f>IF(表5_710[[#This Row],[字典键]]="","",90200000+ROW()-4)</f>
        <v>90200198</v>
      </c>
      <c r="D202" s="7"/>
      <c r="E202" s="49" t="s">
        <v>3111</v>
      </c>
      <c r="F202" s="7">
        <v>2021</v>
      </c>
      <c r="G202" s="34" t="s">
        <v>3123</v>
      </c>
      <c r="H202" s="34"/>
      <c r="I202" s="34"/>
      <c r="J202" s="8"/>
    </row>
    <row r="203" spans="1:10" x14ac:dyDescent="0.35">
      <c r="A203" s="8"/>
      <c r="B203" s="26">
        <v>100</v>
      </c>
      <c r="C203" s="26">
        <f>IF(表5_710[[#This Row],[字典键]]="","",90200000+ROW()-4)</f>
        <v>90200199</v>
      </c>
      <c r="D203" s="7"/>
      <c r="E203" s="49" t="s">
        <v>3111</v>
      </c>
      <c r="F203" s="7">
        <v>2022</v>
      </c>
      <c r="G203" s="34" t="s">
        <v>3190</v>
      </c>
      <c r="H203" s="34"/>
      <c r="I203" s="34"/>
      <c r="J203" s="8" t="s">
        <v>3186</v>
      </c>
    </row>
    <row r="204" spans="1:10" x14ac:dyDescent="0.35">
      <c r="A204" s="8"/>
      <c r="B204" s="26">
        <v>100</v>
      </c>
      <c r="C204" s="26">
        <f>IF(表5_710[[#This Row],[字典键]]="","",90200000+ROW()-4)</f>
        <v>90200200</v>
      </c>
      <c r="D204" s="7"/>
      <c r="E204" s="49" t="s">
        <v>3111</v>
      </c>
      <c r="F204" s="7">
        <v>2023</v>
      </c>
      <c r="G204" s="34" t="s">
        <v>3191</v>
      </c>
      <c r="H204" s="34"/>
      <c r="I204" s="34"/>
      <c r="J204" s="8" t="s">
        <v>3188</v>
      </c>
    </row>
    <row r="205" spans="1:10" x14ac:dyDescent="0.35">
      <c r="A205" s="8"/>
      <c r="B205" s="26">
        <v>100</v>
      </c>
      <c r="C205" s="26">
        <f>IF(表5_710[[#This Row],[字典键]]="","",90200000+ROW()-4)</f>
        <v>90200201</v>
      </c>
      <c r="D205" s="7"/>
      <c r="E205" s="49" t="s">
        <v>3111</v>
      </c>
      <c r="F205" s="7">
        <v>2024</v>
      </c>
      <c r="G205" s="34" t="s">
        <v>3192</v>
      </c>
      <c r="H205" s="34"/>
      <c r="I205" s="34"/>
      <c r="J205" s="8" t="s">
        <v>3188</v>
      </c>
    </row>
    <row r="206" spans="1:10" x14ac:dyDescent="0.35">
      <c r="A206" s="8"/>
      <c r="B206" s="26">
        <v>100</v>
      </c>
      <c r="C206" s="26">
        <f>IF(表5_710[[#This Row],[字典键]]="","",90200000+ROW()-4)</f>
        <v>90200202</v>
      </c>
      <c r="D206" s="7"/>
      <c r="E206" s="49" t="s">
        <v>3111</v>
      </c>
      <c r="F206" s="7">
        <v>3001</v>
      </c>
      <c r="G206" s="34" t="s">
        <v>3184</v>
      </c>
      <c r="H206" s="34"/>
      <c r="I206" s="34"/>
      <c r="J206" s="8" t="s">
        <v>3193</v>
      </c>
    </row>
    <row r="207" spans="1:10" x14ac:dyDescent="0.35">
      <c r="A207" s="8"/>
      <c r="B207" s="26">
        <v>100</v>
      </c>
      <c r="C207" s="26">
        <f>IF(表5_710[[#This Row],[字典键]]="","",90200000+ROW()-4)</f>
        <v>90200203</v>
      </c>
      <c r="D207" s="7"/>
      <c r="E207" s="49" t="s">
        <v>3111</v>
      </c>
      <c r="F207" s="7">
        <v>3002</v>
      </c>
      <c r="G207" s="34" t="s">
        <v>3184</v>
      </c>
      <c r="H207" s="34"/>
      <c r="I207" s="34"/>
      <c r="J207" s="8" t="s">
        <v>3194</v>
      </c>
    </row>
    <row r="208" spans="1:10" x14ac:dyDescent="0.35">
      <c r="A208" s="8"/>
      <c r="B208" s="26">
        <v>100</v>
      </c>
      <c r="C208" s="26">
        <f>IF(表5_710[[#This Row],[字典键]]="","",90200000+ROW()-4)</f>
        <v>90200204</v>
      </c>
      <c r="D208" s="7"/>
      <c r="E208" s="49" t="s">
        <v>3111</v>
      </c>
      <c r="F208" s="7">
        <v>3011</v>
      </c>
      <c r="G208" s="34" t="s">
        <v>3195</v>
      </c>
      <c r="H208" s="34"/>
      <c r="I208" s="34"/>
      <c r="J208" s="8" t="s">
        <v>3193</v>
      </c>
    </row>
    <row r="209" spans="1:10" x14ac:dyDescent="0.35">
      <c r="A209" s="8"/>
      <c r="B209" s="26">
        <v>100</v>
      </c>
      <c r="C209" s="26">
        <f>IF(表5_710[[#This Row],[字典键]]="","",90200000+ROW()-4)</f>
        <v>90200205</v>
      </c>
      <c r="D209" s="7"/>
      <c r="E209" s="49" t="s">
        <v>3111</v>
      </c>
      <c r="F209" s="7">
        <v>3012</v>
      </c>
      <c r="G209" s="34" t="s">
        <v>3195</v>
      </c>
      <c r="H209" s="34"/>
      <c r="I209" s="34"/>
      <c r="J209" s="8" t="s">
        <v>3194</v>
      </c>
    </row>
    <row r="210" spans="1:10" x14ac:dyDescent="0.35">
      <c r="A210" s="8"/>
      <c r="B210" s="26">
        <v>100</v>
      </c>
      <c r="C210" s="26">
        <f>IF(表5_710[[#This Row],[字典键]]="","",90200000+ROW()-4)</f>
        <v>90200206</v>
      </c>
      <c r="D210" s="7"/>
      <c r="E210" s="49" t="s">
        <v>3111</v>
      </c>
      <c r="F210" s="7">
        <v>3021</v>
      </c>
      <c r="G210" s="34" t="s">
        <v>3196</v>
      </c>
      <c r="H210" s="34"/>
      <c r="I210" s="34"/>
      <c r="J210" s="8" t="s">
        <v>3193</v>
      </c>
    </row>
    <row r="211" spans="1:10" x14ac:dyDescent="0.35">
      <c r="A211" s="8"/>
      <c r="B211" s="26">
        <v>100</v>
      </c>
      <c r="C211" s="26">
        <f>IF(表5_710[[#This Row],[字典键]]="","",90200000+ROW()-4)</f>
        <v>90200207</v>
      </c>
      <c r="D211" s="7"/>
      <c r="E211" s="49" t="s">
        <v>3111</v>
      </c>
      <c r="F211" s="7">
        <v>3022</v>
      </c>
      <c r="G211" s="34" t="s">
        <v>3196</v>
      </c>
      <c r="H211" s="34"/>
      <c r="I211" s="34"/>
      <c r="J211" s="8" t="s">
        <v>3194</v>
      </c>
    </row>
    <row r="212" spans="1:10" x14ac:dyDescent="0.35">
      <c r="A212" s="8"/>
      <c r="B212" s="26">
        <v>100</v>
      </c>
      <c r="C212" s="26">
        <f>IF(表5_710[[#This Row],[字典键]]="","",90200000+ROW()-4)</f>
        <v>90200208</v>
      </c>
      <c r="D212" s="7"/>
      <c r="E212" s="49" t="s">
        <v>3111</v>
      </c>
      <c r="F212" s="7">
        <v>3031</v>
      </c>
      <c r="G212" s="34" t="s">
        <v>3197</v>
      </c>
      <c r="H212" s="34"/>
      <c r="I212" s="34"/>
      <c r="J212" s="8" t="s">
        <v>3193</v>
      </c>
    </row>
    <row r="213" spans="1:10" x14ac:dyDescent="0.35">
      <c r="A213" s="8"/>
      <c r="B213" s="26">
        <v>100</v>
      </c>
      <c r="C213" s="26">
        <f>IF(表5_710[[#This Row],[字典键]]="","",90200000+ROW()-4)</f>
        <v>90200209</v>
      </c>
      <c r="D213" s="7"/>
      <c r="E213" s="49" t="s">
        <v>3111</v>
      </c>
      <c r="F213" s="7">
        <v>3032</v>
      </c>
      <c r="G213" s="34" t="s">
        <v>3197</v>
      </c>
      <c r="H213" s="34"/>
      <c r="I213" s="34"/>
      <c r="J213" s="8" t="s">
        <v>3194</v>
      </c>
    </row>
    <row r="214" spans="1:10" x14ac:dyDescent="0.35">
      <c r="A214" s="8"/>
      <c r="B214" s="26">
        <v>100</v>
      </c>
      <c r="C214" s="26">
        <f>IF(表5_710[[#This Row],[字典键]]="","",90200000+ROW()-4)</f>
        <v>90200210</v>
      </c>
      <c r="D214" s="7"/>
      <c r="E214" s="49" t="s">
        <v>3111</v>
      </c>
      <c r="F214" s="7">
        <v>4001</v>
      </c>
      <c r="G214" s="34" t="s">
        <v>3198</v>
      </c>
      <c r="H214" s="34"/>
      <c r="I214" s="34"/>
      <c r="J214" s="8" t="s">
        <v>3177</v>
      </c>
    </row>
    <row r="215" spans="1:10" x14ac:dyDescent="0.35">
      <c r="A215" s="8"/>
      <c r="B215" s="26">
        <v>100</v>
      </c>
      <c r="C215" s="26">
        <f>IF(表5_710[[#This Row],[字典键]]="","",90200000+ROW()-4)</f>
        <v>90200211</v>
      </c>
      <c r="D215" s="7"/>
      <c r="E215" s="49" t="s">
        <v>3111</v>
      </c>
      <c r="F215" s="7">
        <v>4002</v>
      </c>
      <c r="G215" s="34" t="s">
        <v>3199</v>
      </c>
      <c r="H215" s="34"/>
      <c r="I215" s="34"/>
      <c r="J215" s="8" t="s">
        <v>3177</v>
      </c>
    </row>
    <row r="216" spans="1:10" x14ac:dyDescent="0.35">
      <c r="A216" s="8"/>
      <c r="B216" s="26">
        <v>100</v>
      </c>
      <c r="C216" s="26">
        <f>IF(表5_710[[#This Row],[字典键]]="","",90200000+ROW()-4)</f>
        <v>90200212</v>
      </c>
      <c r="D216" s="7"/>
      <c r="E216" s="49" t="s">
        <v>3111</v>
      </c>
      <c r="F216" s="7">
        <v>4003</v>
      </c>
      <c r="G216" s="34" t="s">
        <v>3200</v>
      </c>
      <c r="H216" s="34"/>
      <c r="I216" s="34"/>
      <c r="J216" s="8" t="s">
        <v>3177</v>
      </c>
    </row>
    <row r="217" spans="1:10" x14ac:dyDescent="0.35">
      <c r="A217" s="8"/>
      <c r="B217" s="26">
        <v>100</v>
      </c>
      <c r="C217" s="26">
        <f>IF(表5_710[[#This Row],[字典键]]="","",90200000+ROW()-4)</f>
        <v>90200213</v>
      </c>
      <c r="D217" s="7"/>
      <c r="E217" s="49" t="s">
        <v>3111</v>
      </c>
      <c r="F217" s="7">
        <v>4004</v>
      </c>
      <c r="G217" s="34" t="s">
        <v>3206</v>
      </c>
      <c r="H217" s="34"/>
      <c r="I217" s="34"/>
      <c r="J217" s="34" t="s">
        <v>3207</v>
      </c>
    </row>
    <row r="218" spans="1:10" x14ac:dyDescent="0.35">
      <c r="A218" s="8"/>
      <c r="B218" s="26">
        <v>100</v>
      </c>
      <c r="C218" s="26">
        <f>IF(表5_710[[#This Row],[字典键]]="","",90200000+ROW()-4)</f>
        <v>90200214</v>
      </c>
      <c r="D218" s="7"/>
      <c r="E218" s="49" t="s">
        <v>3111</v>
      </c>
      <c r="F218" s="7">
        <v>9001</v>
      </c>
      <c r="G218" s="34" t="s">
        <v>3201</v>
      </c>
      <c r="H218" s="34"/>
      <c r="I218" s="34"/>
      <c r="J218" s="8" t="s">
        <v>3202</v>
      </c>
    </row>
    <row r="219" spans="1:10" x14ac:dyDescent="0.35">
      <c r="A219" s="8"/>
      <c r="B219" s="26">
        <v>100</v>
      </c>
      <c r="C219" s="26">
        <f>IF(表5_710[[#This Row],[字典键]]="","",90200000+ROW()-4)</f>
        <v>90200215</v>
      </c>
      <c r="D219" s="7"/>
      <c r="E219" s="49" t="s">
        <v>3111</v>
      </c>
      <c r="F219" s="7">
        <v>9002</v>
      </c>
      <c r="G219" s="34" t="s">
        <v>3124</v>
      </c>
      <c r="H219" s="34"/>
      <c r="I219" s="34"/>
      <c r="J219" s="8"/>
    </row>
    <row r="220" spans="1:10" x14ac:dyDescent="0.35">
      <c r="A220" s="8"/>
      <c r="B220" s="26">
        <v>100</v>
      </c>
      <c r="C220" s="26">
        <f>IF(表5_710[[#This Row],[字典键]]="","",90200000+ROW()-4)</f>
        <v>90200216</v>
      </c>
      <c r="D220" s="7"/>
      <c r="E220" s="49" t="s">
        <v>3516</v>
      </c>
      <c r="F220" s="7">
        <v>1</v>
      </c>
      <c r="G220" s="32" t="s">
        <v>3555</v>
      </c>
      <c r="H220" s="32"/>
      <c r="I220" s="34"/>
      <c r="J220" s="8" t="s">
        <v>3578</v>
      </c>
    </row>
    <row r="221" spans="1:10" x14ac:dyDescent="0.35">
      <c r="A221" s="8"/>
      <c r="B221" s="26">
        <v>100</v>
      </c>
      <c r="C221" s="26">
        <f>IF(表5_710[[#This Row],[字典键]]="","",90200000+ROW()-4)</f>
        <v>90200217</v>
      </c>
      <c r="D221" s="7"/>
      <c r="E221" s="49" t="s">
        <v>3517</v>
      </c>
      <c r="F221" s="7">
        <v>1</v>
      </c>
      <c r="G221" s="32" t="s">
        <v>3557</v>
      </c>
      <c r="H221" s="32"/>
      <c r="I221" s="34"/>
      <c r="J221" s="8"/>
    </row>
    <row r="222" spans="1:10" x14ac:dyDescent="0.35">
      <c r="A222" s="8"/>
      <c r="B222" s="26">
        <v>100</v>
      </c>
      <c r="C222" s="26">
        <f>IF(表5_710[[#This Row],[字典键]]="","",90200000+ROW()-4)</f>
        <v>90200218</v>
      </c>
      <c r="D222" s="7"/>
      <c r="E222" s="49" t="s">
        <v>3518</v>
      </c>
      <c r="F222" s="7">
        <v>1</v>
      </c>
      <c r="G222" s="32" t="s">
        <v>3558</v>
      </c>
      <c r="H222" s="32"/>
      <c r="I222" s="34"/>
      <c r="J222" s="8"/>
    </row>
    <row r="223" spans="1:10" x14ac:dyDescent="0.35">
      <c r="A223" s="8"/>
      <c r="B223" s="26">
        <v>100</v>
      </c>
      <c r="C223" s="26">
        <f>IF(表5_710[[#This Row],[字典键]]="","",90200000+ROW()-4)</f>
        <v>90200219</v>
      </c>
      <c r="D223" s="7"/>
      <c r="E223" s="49" t="s">
        <v>3514</v>
      </c>
      <c r="F223" s="7">
        <v>1</v>
      </c>
      <c r="G223" s="32" t="s">
        <v>3515</v>
      </c>
      <c r="H223" s="32"/>
      <c r="I223" s="34"/>
      <c r="J223" s="8"/>
    </row>
    <row r="224" spans="1:10" x14ac:dyDescent="0.35">
      <c r="A224" s="8"/>
      <c r="B224" s="26">
        <v>100</v>
      </c>
      <c r="C224" s="26">
        <f>IF(表5_710[[#This Row],[字典键]]="","",90200000+ROW()-4)</f>
        <v>90200220</v>
      </c>
      <c r="D224" s="7"/>
      <c r="E224" s="49" t="s">
        <v>3519</v>
      </c>
      <c r="F224" s="7">
        <v>1</v>
      </c>
      <c r="G224" s="32" t="s">
        <v>3556</v>
      </c>
      <c r="H224" s="32"/>
      <c r="I224" s="34"/>
      <c r="J224" s="8"/>
    </row>
    <row r="225" spans="1:10" x14ac:dyDescent="0.35">
      <c r="A225" s="8"/>
      <c r="B225" s="26">
        <v>100</v>
      </c>
      <c r="C225" s="26">
        <f>IF(表5_710[[#This Row],[字典键]]="","",90200000+ROW()-4)</f>
        <v>90200221</v>
      </c>
      <c r="D225" s="7"/>
      <c r="E225" s="49" t="s">
        <v>3520</v>
      </c>
      <c r="F225" s="7">
        <v>1</v>
      </c>
      <c r="G225" s="32" t="s">
        <v>3559</v>
      </c>
      <c r="H225" s="32"/>
      <c r="I225" s="34"/>
      <c r="J225" s="8"/>
    </row>
    <row r="226" spans="1:10" x14ac:dyDescent="0.35">
      <c r="A226" s="8"/>
      <c r="B226" s="26">
        <v>100</v>
      </c>
      <c r="C226" s="26">
        <f>IF(表5_710[[#This Row],[字典键]]="","",90200000+ROW()-4)</f>
        <v>90200222</v>
      </c>
      <c r="D226" s="7"/>
      <c r="E226" s="49" t="s">
        <v>3521</v>
      </c>
      <c r="F226" s="7">
        <v>1</v>
      </c>
      <c r="G226" s="32" t="s">
        <v>3559</v>
      </c>
      <c r="H226" s="32"/>
      <c r="I226" s="34"/>
      <c r="J226" s="8"/>
    </row>
    <row r="227" spans="1:10" x14ac:dyDescent="0.35">
      <c r="A227" s="8"/>
      <c r="B227" s="26">
        <v>100</v>
      </c>
      <c r="C227" s="26">
        <f>IF(表5_710[[#This Row],[字典键]]="","",90200000+ROW()-4)</f>
        <v>90200223</v>
      </c>
      <c r="D227" s="7"/>
      <c r="E227" s="49" t="s">
        <v>3522</v>
      </c>
      <c r="F227" s="7">
        <v>1</v>
      </c>
      <c r="G227" s="32" t="s">
        <v>3559</v>
      </c>
      <c r="H227" s="32"/>
      <c r="I227" s="34"/>
      <c r="J227" s="8"/>
    </row>
    <row r="228" spans="1:10" x14ac:dyDescent="0.35">
      <c r="A228" s="8"/>
      <c r="B228" s="26">
        <v>100</v>
      </c>
      <c r="C228" s="26">
        <f>IF(表5_710[[#This Row],[字典键]]="","",90200000+ROW()-4)</f>
        <v>90200224</v>
      </c>
      <c r="D228" s="7"/>
      <c r="E228" s="49" t="s">
        <v>3523</v>
      </c>
      <c r="F228" s="7">
        <v>1</v>
      </c>
      <c r="G228" s="32" t="s">
        <v>3559</v>
      </c>
      <c r="H228" s="32"/>
      <c r="I228" s="34"/>
      <c r="J228" s="8"/>
    </row>
    <row r="229" spans="1:10" x14ac:dyDescent="0.35">
      <c r="A229" s="8"/>
      <c r="B229" s="26">
        <v>100</v>
      </c>
      <c r="C229" s="26">
        <f>IF(表5_710[[#This Row],[字典键]]="","",90200000+ROW()-4)</f>
        <v>90200225</v>
      </c>
      <c r="D229" s="7"/>
      <c r="E229" s="49" t="s">
        <v>3524</v>
      </c>
      <c r="F229" s="7">
        <v>1</v>
      </c>
      <c r="G229" s="32" t="s">
        <v>3559</v>
      </c>
      <c r="H229" s="32"/>
      <c r="I229" s="34"/>
      <c r="J229" s="8"/>
    </row>
    <row r="230" spans="1:10" x14ac:dyDescent="0.35">
      <c r="A230" s="8"/>
      <c r="B230" s="26">
        <v>100</v>
      </c>
      <c r="C230" s="26">
        <f>IF(表5_710[[#This Row],[字典键]]="","",90200000+ROW()-4)</f>
        <v>90200226</v>
      </c>
      <c r="D230" s="7"/>
      <c r="E230" s="49" t="s">
        <v>3525</v>
      </c>
      <c r="F230" s="7">
        <v>1</v>
      </c>
      <c r="G230" s="32" t="s">
        <v>3559</v>
      </c>
      <c r="H230" s="32"/>
      <c r="I230" s="34"/>
      <c r="J230" s="8"/>
    </row>
    <row r="231" spans="1:10" x14ac:dyDescent="0.35">
      <c r="A231" s="8"/>
      <c r="B231" s="26">
        <v>100</v>
      </c>
      <c r="C231" s="26">
        <f>IF(表5_710[[#This Row],[字典键]]="","",90200000+ROW()-4)</f>
        <v>90200227</v>
      </c>
      <c r="D231" s="7"/>
      <c r="E231" s="49" t="s">
        <v>3526</v>
      </c>
      <c r="F231" s="7">
        <v>1</v>
      </c>
      <c r="G231" s="32" t="s">
        <v>3559</v>
      </c>
      <c r="H231" s="32"/>
      <c r="I231" s="34"/>
      <c r="J231" s="8"/>
    </row>
    <row r="232" spans="1:10" x14ac:dyDescent="0.35">
      <c r="A232" s="8"/>
      <c r="B232" s="26">
        <v>100</v>
      </c>
      <c r="C232" s="26">
        <f>IF(表5_710[[#This Row],[字典键]]="","",90200000+ROW()-4)</f>
        <v>90200228</v>
      </c>
      <c r="D232" s="7"/>
      <c r="E232" s="49" t="s">
        <v>3527</v>
      </c>
      <c r="F232" s="7">
        <v>1</v>
      </c>
      <c r="G232" s="32" t="s">
        <v>3559</v>
      </c>
      <c r="H232" s="32"/>
      <c r="I232" s="34"/>
      <c r="J232" s="8"/>
    </row>
    <row r="233" spans="1:10" x14ac:dyDescent="0.35">
      <c r="A233" s="8"/>
      <c r="B233" s="26">
        <v>100</v>
      </c>
      <c r="C233" s="26">
        <f>IF(表5_710[[#This Row],[字典键]]="","",90200000+ROW()-4)</f>
        <v>90200229</v>
      </c>
      <c r="D233" s="7"/>
      <c r="E233" s="49" t="s">
        <v>3528</v>
      </c>
      <c r="F233" s="7">
        <v>1</v>
      </c>
      <c r="G233" s="32" t="s">
        <v>3559</v>
      </c>
      <c r="H233" s="32"/>
      <c r="I233" s="34"/>
      <c r="J233" s="8"/>
    </row>
    <row r="234" spans="1:10" x14ac:dyDescent="0.35">
      <c r="A234" s="8"/>
      <c r="B234" s="26">
        <v>100</v>
      </c>
      <c r="C234" s="26">
        <f>IF(表5_710[[#This Row],[字典键]]="","",90200000+ROW()-4)</f>
        <v>90200230</v>
      </c>
      <c r="D234" s="7"/>
      <c r="E234" s="49" t="s">
        <v>3529</v>
      </c>
      <c r="F234" s="7">
        <v>1</v>
      </c>
      <c r="G234" s="32" t="s">
        <v>3559</v>
      </c>
      <c r="H234" s="32"/>
      <c r="I234" s="34"/>
      <c r="J234" s="8"/>
    </row>
    <row r="235" spans="1:10" x14ac:dyDescent="0.35">
      <c r="A235" s="8"/>
      <c r="B235" s="26">
        <v>100</v>
      </c>
      <c r="C235" s="26">
        <f>IF(表5_710[[#This Row],[字典键]]="","",90200000+ROW()-4)</f>
        <v>90200231</v>
      </c>
      <c r="D235" s="7"/>
      <c r="E235" s="49" t="s">
        <v>3530</v>
      </c>
      <c r="F235" s="7">
        <v>1</v>
      </c>
      <c r="G235" s="32" t="s">
        <v>3559</v>
      </c>
      <c r="H235" s="32"/>
      <c r="I235" s="34"/>
      <c r="J235" s="8"/>
    </row>
    <row r="236" spans="1:10" x14ac:dyDescent="0.35">
      <c r="A236" s="8"/>
      <c r="B236" s="26">
        <v>100</v>
      </c>
      <c r="C236" s="26">
        <f>IF(表5_710[[#This Row],[字典键]]="","",90200000+ROW()-4)</f>
        <v>90200232</v>
      </c>
      <c r="D236" s="7"/>
      <c r="E236" s="49" t="s">
        <v>3531</v>
      </c>
      <c r="F236" s="7">
        <v>1</v>
      </c>
      <c r="G236" s="32" t="s">
        <v>3560</v>
      </c>
      <c r="H236" s="32"/>
      <c r="I236" s="34"/>
      <c r="J236" s="8" t="s">
        <v>3579</v>
      </c>
    </row>
    <row r="237" spans="1:10" x14ac:dyDescent="0.35">
      <c r="A237" s="8"/>
      <c r="B237" s="26">
        <v>100</v>
      </c>
      <c r="C237" s="26">
        <f>IF(表5_710[[#This Row],[字典键]]="","",90200000+ROW()-4)</f>
        <v>90200233</v>
      </c>
      <c r="D237" s="7"/>
      <c r="E237" s="49" t="s">
        <v>3532</v>
      </c>
      <c r="F237" s="7">
        <v>1</v>
      </c>
      <c r="G237" s="32" t="s">
        <v>3561</v>
      </c>
      <c r="H237" s="32"/>
      <c r="I237" s="34"/>
      <c r="J237" s="8"/>
    </row>
    <row r="238" spans="1:10" x14ac:dyDescent="0.35">
      <c r="A238" s="8"/>
      <c r="B238" s="26">
        <v>100</v>
      </c>
      <c r="C238" s="26">
        <f>IF(表5_710[[#This Row],[字典键]]="","",90200000+ROW()-4)</f>
        <v>90200234</v>
      </c>
      <c r="D238" s="7"/>
      <c r="E238" s="49" t="s">
        <v>3533</v>
      </c>
      <c r="F238" s="7">
        <v>1</v>
      </c>
      <c r="G238" s="32" t="s">
        <v>3562</v>
      </c>
      <c r="H238" s="32"/>
      <c r="I238" s="34"/>
      <c r="J238" s="8"/>
    </row>
    <row r="239" spans="1:10" x14ac:dyDescent="0.35">
      <c r="A239" s="8"/>
      <c r="B239" s="26">
        <v>100</v>
      </c>
      <c r="C239" s="26">
        <f>IF(表5_710[[#This Row],[字典键]]="","",90200000+ROW()-4)</f>
        <v>90200235</v>
      </c>
      <c r="D239" s="7"/>
      <c r="E239" s="49" t="s">
        <v>3534</v>
      </c>
      <c r="F239" s="7">
        <v>1</v>
      </c>
      <c r="G239" s="32" t="s">
        <v>3563</v>
      </c>
      <c r="H239" s="32"/>
      <c r="I239" s="34"/>
      <c r="J239" s="8"/>
    </row>
    <row r="240" spans="1:10" x14ac:dyDescent="0.35">
      <c r="A240" s="8"/>
      <c r="B240" s="26">
        <v>100</v>
      </c>
      <c r="C240" s="26">
        <f>IF(表5_710[[#This Row],[字典键]]="","",90200000+ROW()-4)</f>
        <v>90200236</v>
      </c>
      <c r="D240" s="7"/>
      <c r="E240" s="49" t="s">
        <v>3535</v>
      </c>
      <c r="F240" s="7">
        <v>1</v>
      </c>
      <c r="G240" s="32" t="s">
        <v>3564</v>
      </c>
      <c r="H240" s="32"/>
      <c r="I240" s="34"/>
      <c r="J240" s="8"/>
    </row>
    <row r="241" spans="1:10" x14ac:dyDescent="0.35">
      <c r="A241" s="8"/>
      <c r="B241" s="26">
        <v>100</v>
      </c>
      <c r="C241" s="26">
        <f>IF(表5_710[[#This Row],[字典键]]="","",90200000+ROW()-4)</f>
        <v>90200237</v>
      </c>
      <c r="D241" s="7"/>
      <c r="E241" s="49" t="s">
        <v>3536</v>
      </c>
      <c r="F241" s="7">
        <v>1</v>
      </c>
      <c r="G241" s="32" t="s">
        <v>3565</v>
      </c>
      <c r="H241" s="32"/>
      <c r="I241" s="34"/>
      <c r="J241" s="8"/>
    </row>
    <row r="242" spans="1:10" x14ac:dyDescent="0.35">
      <c r="A242" s="8"/>
      <c r="B242" s="26">
        <v>100</v>
      </c>
      <c r="C242" s="26">
        <f>IF(表5_710[[#This Row],[字典键]]="","",90200000+ROW()-4)</f>
        <v>90200238</v>
      </c>
      <c r="D242" s="7"/>
      <c r="E242" s="49" t="s">
        <v>3537</v>
      </c>
      <c r="F242" s="7">
        <v>1</v>
      </c>
      <c r="G242" s="32" t="s">
        <v>3585</v>
      </c>
      <c r="H242" s="32" t="s">
        <v>3604</v>
      </c>
      <c r="I242" s="34"/>
      <c r="J242" s="58" t="s">
        <v>3580</v>
      </c>
    </row>
    <row r="243" spans="1:10" x14ac:dyDescent="0.35">
      <c r="A243" s="8"/>
      <c r="B243" s="26">
        <v>100</v>
      </c>
      <c r="C243" s="26">
        <f>IF(表5_710[[#This Row],[字典键]]="","",90200000+ROW()-4)</f>
        <v>90200239</v>
      </c>
      <c r="D243" s="7"/>
      <c r="E243" s="49" t="s">
        <v>3538</v>
      </c>
      <c r="F243" s="7">
        <v>1</v>
      </c>
      <c r="G243" s="32" t="s">
        <v>3567</v>
      </c>
      <c r="H243" s="32" t="s">
        <v>3566</v>
      </c>
      <c r="I243" s="34"/>
      <c r="J243" s="8" t="s">
        <v>3581</v>
      </c>
    </row>
    <row r="244" spans="1:10" x14ac:dyDescent="0.35">
      <c r="A244" s="8"/>
      <c r="B244" s="26">
        <v>100</v>
      </c>
      <c r="C244" s="26">
        <f>IF(表5_710[[#This Row],[字典键]]="","",90200000+ROW()-4)</f>
        <v>90200240</v>
      </c>
      <c r="D244" s="7"/>
      <c r="E244" s="49" t="s">
        <v>3539</v>
      </c>
      <c r="F244" s="7">
        <v>1</v>
      </c>
      <c r="G244" s="32" t="s">
        <v>3586</v>
      </c>
      <c r="H244" s="32" t="s">
        <v>3568</v>
      </c>
      <c r="I244" s="34"/>
      <c r="J244" s="8" t="s">
        <v>3603</v>
      </c>
    </row>
    <row r="245" spans="1:10" x14ac:dyDescent="0.35">
      <c r="A245" s="8"/>
      <c r="B245" s="26">
        <v>100</v>
      </c>
      <c r="C245" s="26">
        <f>IF(表5_710[[#This Row],[字典键]]="","",90200000+ROW()-4)</f>
        <v>90200241</v>
      </c>
      <c r="D245" s="7"/>
      <c r="E245" s="49" t="s">
        <v>3540</v>
      </c>
      <c r="F245" s="7">
        <v>1</v>
      </c>
      <c r="G245" s="32" t="s">
        <v>3587</v>
      </c>
      <c r="H245" s="32" t="s">
        <v>3568</v>
      </c>
      <c r="I245" s="34"/>
      <c r="J245" s="8"/>
    </row>
    <row r="246" spans="1:10" x14ac:dyDescent="0.35">
      <c r="A246" s="8"/>
      <c r="B246" s="26">
        <v>100</v>
      </c>
      <c r="C246" s="26">
        <f>IF(表5_710[[#This Row],[字典键]]="","",90200000+ROW()-4)</f>
        <v>90200242</v>
      </c>
      <c r="D246" s="7"/>
      <c r="E246" s="49" t="s">
        <v>3541</v>
      </c>
      <c r="F246" s="7">
        <v>1</v>
      </c>
      <c r="G246" s="32" t="s">
        <v>3588</v>
      </c>
      <c r="H246" s="32" t="s">
        <v>3568</v>
      </c>
      <c r="I246" s="34"/>
      <c r="J246" s="8"/>
    </row>
    <row r="247" spans="1:10" x14ac:dyDescent="0.35">
      <c r="A247" s="8"/>
      <c r="B247" s="26">
        <v>100</v>
      </c>
      <c r="C247" s="26">
        <f>IF(表5_710[[#This Row],[字典键]]="","",90200000+ROW()-4)</f>
        <v>90200243</v>
      </c>
      <c r="D247" s="7"/>
      <c r="E247" s="49" t="s">
        <v>3542</v>
      </c>
      <c r="F247" s="7">
        <v>1</v>
      </c>
      <c r="G247" s="32" t="s">
        <v>3584</v>
      </c>
      <c r="H247" s="32" t="s">
        <v>3569</v>
      </c>
      <c r="I247" s="34"/>
      <c r="J247" s="8"/>
    </row>
    <row r="248" spans="1:10" x14ac:dyDescent="0.35">
      <c r="A248" s="8"/>
      <c r="B248" s="26">
        <v>100</v>
      </c>
      <c r="C248" s="26">
        <f>IF(表5_710[[#This Row],[字典键]]="","",90200000+ROW()-4)</f>
        <v>90200244</v>
      </c>
      <c r="D248" s="7"/>
      <c r="E248" s="49" t="s">
        <v>3543</v>
      </c>
      <c r="F248" s="7">
        <v>1</v>
      </c>
      <c r="G248" s="32" t="s">
        <v>3583</v>
      </c>
      <c r="H248" s="32" t="s">
        <v>3570</v>
      </c>
      <c r="I248" s="34"/>
      <c r="J248" s="8"/>
    </row>
    <row r="249" spans="1:10" x14ac:dyDescent="0.35">
      <c r="A249" s="8"/>
      <c r="B249" s="26">
        <v>100</v>
      </c>
      <c r="C249" s="26">
        <f>IF(表5_710[[#This Row],[字典键]]="","",90200000+ROW()-4)</f>
        <v>90200245</v>
      </c>
      <c r="D249" s="7"/>
      <c r="E249" s="49" t="s">
        <v>3544</v>
      </c>
      <c r="F249" s="7">
        <v>1</v>
      </c>
      <c r="G249" s="32" t="s">
        <v>3582</v>
      </c>
      <c r="H249" s="32" t="s">
        <v>3571</v>
      </c>
      <c r="I249" s="34"/>
      <c r="J249" s="8"/>
    </row>
    <row r="250" spans="1:10" x14ac:dyDescent="0.35">
      <c r="A250" s="8"/>
      <c r="B250" s="26">
        <v>100</v>
      </c>
      <c r="C250" s="26">
        <f>IF(表5_710[[#This Row],[字典键]]="","",90200000+ROW()-4)</f>
        <v>90200246</v>
      </c>
      <c r="D250" s="7"/>
      <c r="E250" s="49" t="s">
        <v>3545</v>
      </c>
      <c r="F250" s="7">
        <v>1</v>
      </c>
      <c r="G250" s="32" t="s">
        <v>3589</v>
      </c>
      <c r="H250" s="32" t="s">
        <v>3602</v>
      </c>
      <c r="I250" s="34"/>
      <c r="J250" s="8"/>
    </row>
    <row r="251" spans="1:10" x14ac:dyDescent="0.35">
      <c r="A251" s="8"/>
      <c r="B251" s="26">
        <v>100</v>
      </c>
      <c r="C251" s="26">
        <f>IF(表5_710[[#This Row],[字典键]]="","",90200000+ROW()-4)</f>
        <v>90200247</v>
      </c>
      <c r="D251" s="7"/>
      <c r="E251" s="49" t="s">
        <v>3546</v>
      </c>
      <c r="F251" s="7">
        <v>1</v>
      </c>
      <c r="G251" s="32" t="s">
        <v>3590</v>
      </c>
      <c r="H251" s="32" t="s">
        <v>3601</v>
      </c>
      <c r="I251" s="34"/>
      <c r="J251" s="8"/>
    </row>
    <row r="252" spans="1:10" x14ac:dyDescent="0.35">
      <c r="A252" s="8"/>
      <c r="B252" s="26">
        <v>100</v>
      </c>
      <c r="C252" s="26">
        <f>IF(表5_710[[#This Row],[字典键]]="","",90200000+ROW()-4)</f>
        <v>90200248</v>
      </c>
      <c r="D252" s="7"/>
      <c r="E252" s="49" t="s">
        <v>3547</v>
      </c>
      <c r="F252" s="7">
        <v>1</v>
      </c>
      <c r="G252" s="32" t="s">
        <v>3591</v>
      </c>
      <c r="H252" s="32" t="s">
        <v>3600</v>
      </c>
      <c r="I252" s="34"/>
      <c r="J252" s="8"/>
    </row>
    <row r="253" spans="1:10" x14ac:dyDescent="0.35">
      <c r="A253" s="8"/>
      <c r="B253" s="26">
        <v>100</v>
      </c>
      <c r="C253" s="26">
        <f>IF(表5_710[[#This Row],[字典键]]="","",90200000+ROW()-4)</f>
        <v>90200249</v>
      </c>
      <c r="D253" s="7"/>
      <c r="E253" s="49" t="s">
        <v>3548</v>
      </c>
      <c r="F253" s="7">
        <v>1</v>
      </c>
      <c r="G253" s="32" t="s">
        <v>3592</v>
      </c>
      <c r="H253" s="32" t="s">
        <v>3572</v>
      </c>
      <c r="I253" s="34"/>
      <c r="J253" s="8"/>
    </row>
    <row r="254" spans="1:10" x14ac:dyDescent="0.35">
      <c r="A254" s="8"/>
      <c r="B254" s="26">
        <v>100</v>
      </c>
      <c r="C254" s="26">
        <f>IF(表5_710[[#This Row],[字典键]]="","",90200000+ROW()-4)</f>
        <v>90200250</v>
      </c>
      <c r="D254" s="7"/>
      <c r="E254" s="49" t="s">
        <v>3549</v>
      </c>
      <c r="F254" s="7">
        <v>1</v>
      </c>
      <c r="G254" s="32" t="s">
        <v>3593</v>
      </c>
      <c r="H254" s="32" t="s">
        <v>3573</v>
      </c>
      <c r="I254" s="34"/>
      <c r="J254" s="8"/>
    </row>
    <row r="255" spans="1:10" x14ac:dyDescent="0.35">
      <c r="A255" s="8"/>
      <c r="B255" s="26">
        <v>100</v>
      </c>
      <c r="C255" s="26">
        <f>IF(表5_710[[#This Row],[字典键]]="","",90200000+ROW()-4)</f>
        <v>90200251</v>
      </c>
      <c r="D255" s="7"/>
      <c r="E255" s="49" t="s">
        <v>3550</v>
      </c>
      <c r="F255" s="7">
        <v>1</v>
      </c>
      <c r="G255" s="32" t="s">
        <v>3594</v>
      </c>
      <c r="H255" s="32" t="s">
        <v>3574</v>
      </c>
      <c r="I255" s="34"/>
      <c r="J255" s="8"/>
    </row>
    <row r="256" spans="1:10" x14ac:dyDescent="0.35">
      <c r="A256" s="8"/>
      <c r="B256" s="26">
        <v>100</v>
      </c>
      <c r="C256" s="26">
        <f>IF(表5_710[[#This Row],[字典键]]="","",90200000+ROW()-4)</f>
        <v>90200252</v>
      </c>
      <c r="D256" s="7"/>
      <c r="E256" s="49" t="s">
        <v>3551</v>
      </c>
      <c r="F256" s="7">
        <v>1</v>
      </c>
      <c r="G256" s="32" t="s">
        <v>3596</v>
      </c>
      <c r="H256" s="32" t="s">
        <v>3575</v>
      </c>
      <c r="I256" s="34"/>
      <c r="J256" s="8"/>
    </row>
    <row r="257" spans="1:10" x14ac:dyDescent="0.35">
      <c r="A257" s="8"/>
      <c r="B257" s="26">
        <v>100</v>
      </c>
      <c r="C257" s="26">
        <f>IF(表5_710[[#This Row],[字典键]]="","",90200000+ROW()-4)</f>
        <v>90200253</v>
      </c>
      <c r="D257" s="7"/>
      <c r="E257" s="49" t="s">
        <v>3552</v>
      </c>
      <c r="F257" s="7">
        <v>1</v>
      </c>
      <c r="G257" s="32" t="s">
        <v>3595</v>
      </c>
      <c r="H257" s="32" t="s">
        <v>3576</v>
      </c>
      <c r="I257" s="34"/>
      <c r="J257" s="8"/>
    </row>
    <row r="258" spans="1:10" x14ac:dyDescent="0.35">
      <c r="A258" s="8"/>
      <c r="B258" s="26">
        <v>100</v>
      </c>
      <c r="C258" s="26">
        <f>IF(表5_710[[#This Row],[字典键]]="","",90200000+ROW()-4)</f>
        <v>90200254</v>
      </c>
      <c r="D258" s="7"/>
      <c r="E258" s="49" t="s">
        <v>3553</v>
      </c>
      <c r="F258" s="7">
        <v>1</v>
      </c>
      <c r="G258" s="32" t="s">
        <v>3597</v>
      </c>
      <c r="H258" s="32" t="s">
        <v>3599</v>
      </c>
      <c r="I258" s="34"/>
      <c r="J258" s="8"/>
    </row>
    <row r="259" spans="1:10" x14ac:dyDescent="0.35">
      <c r="A259" s="8"/>
      <c r="B259" s="26">
        <v>100</v>
      </c>
      <c r="C259" s="26">
        <f>IF(表5_710[[#This Row],[字典键]]="","",90200000+ROW()-4)</f>
        <v>90200255</v>
      </c>
      <c r="D259" s="7"/>
      <c r="E259" s="49" t="s">
        <v>3554</v>
      </c>
      <c r="F259" s="7">
        <v>1</v>
      </c>
      <c r="G259" s="32" t="s">
        <v>3598</v>
      </c>
      <c r="H259" s="32" t="s">
        <v>3577</v>
      </c>
      <c r="I259" s="34"/>
      <c r="J259" s="8"/>
    </row>
    <row r="260" spans="1:10" x14ac:dyDescent="0.35">
      <c r="A260" s="8"/>
      <c r="B260" s="26">
        <v>100</v>
      </c>
      <c r="C260" s="26" t="str">
        <f>IF(表5_710[[#This Row],[字典键]]="","",90200000+ROW()-4)</f>
        <v/>
      </c>
      <c r="D260" s="7"/>
      <c r="E260" s="49"/>
      <c r="F260" s="7"/>
      <c r="G260" s="32"/>
      <c r="H260" s="32"/>
      <c r="I260" s="34"/>
      <c r="J260" s="8"/>
    </row>
    <row r="261" spans="1:10" x14ac:dyDescent="0.35">
      <c r="A261" s="8"/>
      <c r="B261" s="26">
        <v>100</v>
      </c>
      <c r="C261" s="26" t="str">
        <f>IF(表5_710[[#This Row],[字典键]]="","",90200000+ROW()-4)</f>
        <v/>
      </c>
      <c r="D261" s="7"/>
      <c r="E261" s="49"/>
      <c r="F261" s="7"/>
      <c r="G261" s="32"/>
      <c r="H261" s="32"/>
      <c r="I261" s="34"/>
      <c r="J261" s="8"/>
    </row>
    <row r="262" spans="1:10" x14ac:dyDescent="0.35">
      <c r="A262" s="8"/>
      <c r="B262" s="26">
        <v>100</v>
      </c>
      <c r="C262" s="26" t="str">
        <f>IF(表5_710[[#This Row],[字典键]]="","",90200000+ROW()-4)</f>
        <v/>
      </c>
      <c r="D262" s="7"/>
      <c r="E262" s="49"/>
      <c r="F262" s="7"/>
      <c r="G262" s="32"/>
      <c r="H262" s="32"/>
      <c r="I262" s="34"/>
      <c r="J262" s="8"/>
    </row>
    <row r="263" spans="1:10" x14ac:dyDescent="0.35">
      <c r="A263" s="8"/>
      <c r="B263" s="26">
        <v>100</v>
      </c>
      <c r="C263" s="26" t="str">
        <f>IF(表5_710[[#This Row],[字典键]]="","",90200000+ROW()-4)</f>
        <v/>
      </c>
      <c r="D263" s="7"/>
      <c r="E263" s="49"/>
      <c r="F263" s="7"/>
      <c r="G263" s="32"/>
      <c r="H263" s="32"/>
      <c r="I263" s="34"/>
      <c r="J263" s="8"/>
    </row>
    <row r="264" spans="1:10" x14ac:dyDescent="0.35">
      <c r="A264" s="8"/>
      <c r="B264" s="26">
        <v>100</v>
      </c>
      <c r="C264" s="26" t="str">
        <f>IF(表5_710[[#This Row],[字典键]]="","",90200000+ROW()-4)</f>
        <v/>
      </c>
      <c r="D264" s="7"/>
      <c r="E264" s="49"/>
      <c r="F264" s="7"/>
      <c r="G264" s="32"/>
      <c r="H264" s="32"/>
      <c r="I264" s="34"/>
      <c r="J264" s="8"/>
    </row>
    <row r="265" spans="1:10" x14ac:dyDescent="0.35">
      <c r="A265" s="8"/>
      <c r="B265" s="26">
        <v>100</v>
      </c>
      <c r="C265" s="26" t="str">
        <f>IF(表5_710[[#This Row],[字典键]]="","",90200000+ROW()-4)</f>
        <v/>
      </c>
      <c r="D265" s="7"/>
      <c r="E265" s="49"/>
      <c r="F265" s="7"/>
      <c r="G265" s="32"/>
      <c r="H265" s="32"/>
      <c r="I265" s="34"/>
      <c r="J265" s="8"/>
    </row>
    <row r="266" spans="1:10" x14ac:dyDescent="0.35">
      <c r="A266" s="8"/>
      <c r="B266" s="26">
        <v>100</v>
      </c>
      <c r="C266" s="26" t="str">
        <f>IF(表5_710[[#This Row],[字典键]]="","",90200000+ROW()-4)</f>
        <v/>
      </c>
      <c r="D266" s="7"/>
      <c r="E266" s="49"/>
      <c r="F266" s="7"/>
      <c r="G266" s="32"/>
      <c r="H266" s="32"/>
      <c r="I266" s="34"/>
      <c r="J266" s="8"/>
    </row>
    <row r="267" spans="1:10" x14ac:dyDescent="0.35">
      <c r="A267" s="8"/>
      <c r="B267" s="26">
        <v>100</v>
      </c>
      <c r="C267" s="26" t="str">
        <f>IF(表5_710[[#This Row],[字典键]]="","",90200000+ROW()-4)</f>
        <v/>
      </c>
      <c r="D267" s="7"/>
      <c r="E267" s="49"/>
      <c r="F267" s="7"/>
      <c r="G267" s="32"/>
      <c r="H267" s="32"/>
      <c r="I267" s="34"/>
      <c r="J267" s="8"/>
    </row>
    <row r="268" spans="1:10" x14ac:dyDescent="0.35">
      <c r="A268" s="8"/>
      <c r="B268" s="26">
        <v>100</v>
      </c>
      <c r="C268" s="26" t="str">
        <f>IF(表5_710[[#This Row],[字典键]]="","",90200000+ROW()-4)</f>
        <v/>
      </c>
      <c r="D268" s="7"/>
      <c r="E268" s="49"/>
      <c r="F268" s="7"/>
      <c r="G268" s="32"/>
      <c r="H268" s="32"/>
      <c r="I268" s="34"/>
      <c r="J268" s="8"/>
    </row>
    <row r="269" spans="1:10" x14ac:dyDescent="0.35">
      <c r="A269" s="8"/>
      <c r="B269" s="26">
        <v>100</v>
      </c>
      <c r="C269" s="26" t="str">
        <f>IF(表5_710[[#This Row],[字典键]]="","",90200000+ROW()-4)</f>
        <v/>
      </c>
      <c r="D269" s="7"/>
      <c r="E269" s="49"/>
      <c r="F269" s="7"/>
      <c r="G269" s="32"/>
      <c r="H269" s="32"/>
      <c r="I269" s="34"/>
      <c r="J269" s="8"/>
    </row>
    <row r="270" spans="1:10" x14ac:dyDescent="0.35">
      <c r="A270" s="8"/>
      <c r="B270" s="26">
        <v>100</v>
      </c>
      <c r="C270" s="26" t="str">
        <f>IF(表5_710[[#This Row],[字典键]]="","",90200000+ROW()-4)</f>
        <v/>
      </c>
      <c r="D270" s="7"/>
      <c r="E270" s="49"/>
      <c r="F270" s="7"/>
      <c r="G270" s="32"/>
      <c r="H270" s="32"/>
      <c r="I270" s="34"/>
      <c r="J270" s="8"/>
    </row>
    <row r="271" spans="1:10" x14ac:dyDescent="0.35">
      <c r="A271" s="8"/>
      <c r="B271" s="26">
        <v>100</v>
      </c>
      <c r="C271" s="26" t="str">
        <f>IF(表5_710[[#This Row],[字典键]]="","",90200000+ROW()-4)</f>
        <v/>
      </c>
      <c r="D271" s="7"/>
      <c r="E271" s="49"/>
      <c r="F271" s="7"/>
      <c r="G271" s="32"/>
      <c r="H271" s="32"/>
      <c r="I271" s="34"/>
      <c r="J271" s="8"/>
    </row>
    <row r="272" spans="1:10" x14ac:dyDescent="0.35">
      <c r="A272" s="8"/>
      <c r="B272" s="26">
        <v>100</v>
      </c>
      <c r="C272" s="26" t="str">
        <f>IF(表5_710[[#This Row],[字典键]]="","",90200000+ROW()-4)</f>
        <v/>
      </c>
      <c r="D272" s="7"/>
      <c r="E272" s="49"/>
      <c r="F272" s="7"/>
      <c r="G272" s="32"/>
      <c r="H272" s="32"/>
      <c r="I272" s="34"/>
      <c r="J272" s="8"/>
    </row>
    <row r="273" spans="1:10" x14ac:dyDescent="0.35">
      <c r="A273" s="8"/>
      <c r="B273" s="26">
        <v>100</v>
      </c>
      <c r="C273" s="26" t="str">
        <f>IF(表5_710[[#This Row],[字典键]]="","",90200000+ROW()-4)</f>
        <v/>
      </c>
      <c r="D273" s="7"/>
      <c r="E273" s="49"/>
      <c r="F273" s="7"/>
      <c r="G273" s="32"/>
      <c r="H273" s="32"/>
      <c r="I273" s="34"/>
      <c r="J273" s="8"/>
    </row>
    <row r="274" spans="1:10" x14ac:dyDescent="0.35">
      <c r="A274" s="8"/>
      <c r="B274" s="26">
        <v>100</v>
      </c>
      <c r="C274" s="26" t="str">
        <f>IF(表5_710[[#This Row],[字典键]]="","",90200000+ROW()-4)</f>
        <v/>
      </c>
      <c r="D274" s="7"/>
      <c r="E274" s="49"/>
      <c r="F274" s="7"/>
      <c r="G274" s="32"/>
      <c r="H274" s="32"/>
      <c r="I274" s="34"/>
      <c r="J274" s="8"/>
    </row>
    <row r="275" spans="1:10" x14ac:dyDescent="0.35">
      <c r="A275" s="8"/>
      <c r="B275" s="26">
        <v>100</v>
      </c>
      <c r="C275" s="26" t="str">
        <f>IF(表5_710[[#This Row],[字典键]]="","",90200000+ROW()-4)</f>
        <v/>
      </c>
      <c r="D275" s="7"/>
      <c r="E275" s="49"/>
      <c r="F275" s="7"/>
      <c r="G275" s="32"/>
      <c r="H275" s="32"/>
      <c r="I275" s="34"/>
      <c r="J275" s="8"/>
    </row>
    <row r="276" spans="1:10" x14ac:dyDescent="0.35">
      <c r="A276" s="8"/>
      <c r="B276" s="26">
        <v>100</v>
      </c>
      <c r="C276" s="26" t="str">
        <f>IF(表5_710[[#This Row],[字典键]]="","",90200000+ROW()-4)</f>
        <v/>
      </c>
      <c r="D276" s="7"/>
      <c r="E276" s="49"/>
      <c r="F276" s="7"/>
      <c r="G276" s="32"/>
      <c r="H276" s="32"/>
      <c r="I276" s="34"/>
      <c r="J276" s="8"/>
    </row>
    <row r="277" spans="1:10" x14ac:dyDescent="0.35">
      <c r="A277" s="8"/>
      <c r="B277" s="26">
        <v>100</v>
      </c>
      <c r="C277" s="26" t="str">
        <f>IF(表5_710[[#This Row],[字典键]]="","",90200000+ROW()-4)</f>
        <v/>
      </c>
      <c r="D277" s="7"/>
      <c r="E277" s="49"/>
      <c r="F277" s="7"/>
      <c r="G277" s="32"/>
      <c r="H277" s="32"/>
      <c r="I277" s="34"/>
      <c r="J277" s="8"/>
    </row>
    <row r="278" spans="1:10" x14ac:dyDescent="0.35">
      <c r="A278" s="8"/>
      <c r="B278" s="26">
        <v>100</v>
      </c>
      <c r="C278" s="26" t="str">
        <f>IF(表5_710[[#This Row],[字典键]]="","",90200000+ROW()-4)</f>
        <v/>
      </c>
      <c r="D278" s="7"/>
      <c r="E278" s="49"/>
      <c r="F278" s="7"/>
      <c r="G278" s="32"/>
      <c r="H278" s="32"/>
      <c r="I278" s="34"/>
      <c r="J278" s="8"/>
    </row>
    <row r="279" spans="1:10" x14ac:dyDescent="0.35">
      <c r="A279" s="8"/>
      <c r="B279" s="26">
        <v>100</v>
      </c>
      <c r="C279" s="26" t="str">
        <f>IF(表5_710[[#This Row],[字典键]]="","",90200000+ROW()-4)</f>
        <v/>
      </c>
      <c r="D279" s="7"/>
      <c r="E279" s="49"/>
      <c r="F279" s="7"/>
      <c r="G279" s="32"/>
      <c r="H279" s="32"/>
      <c r="I279" s="34"/>
      <c r="J279" s="8"/>
    </row>
    <row r="280" spans="1:10" x14ac:dyDescent="0.35">
      <c r="A280" s="8"/>
      <c r="B280" s="26">
        <v>100</v>
      </c>
      <c r="C280" s="26" t="str">
        <f>IF(表5_710[[#This Row],[字典键]]="","",90200000+ROW()-4)</f>
        <v/>
      </c>
      <c r="D280" s="7"/>
      <c r="E280" s="49"/>
      <c r="F280" s="7"/>
      <c r="G280" s="32"/>
      <c r="H280" s="32"/>
      <c r="I280" s="34"/>
      <c r="J280" s="8"/>
    </row>
    <row r="281" spans="1:10" x14ac:dyDescent="0.35">
      <c r="A281" s="8"/>
      <c r="B281" s="26">
        <v>100</v>
      </c>
      <c r="C281" s="26" t="str">
        <f>IF(表5_710[[#This Row],[字典键]]="","",90200000+ROW()-4)</f>
        <v/>
      </c>
      <c r="D281" s="7"/>
      <c r="E281" s="49"/>
      <c r="F281" s="7"/>
      <c r="G281" s="32"/>
      <c r="H281" s="32"/>
      <c r="I281" s="34"/>
      <c r="J281" s="8"/>
    </row>
    <row r="282" spans="1:10" x14ac:dyDescent="0.35">
      <c r="A282" s="8"/>
      <c r="B282" s="26">
        <v>100</v>
      </c>
      <c r="C282" s="26" t="str">
        <f>IF(表5_710[[#This Row],[字典键]]="","",90200000+ROW()-4)</f>
        <v/>
      </c>
      <c r="D282" s="7"/>
      <c r="E282" s="49"/>
      <c r="F282" s="7"/>
      <c r="G282" s="32"/>
      <c r="H282" s="32"/>
      <c r="I282" s="34"/>
      <c r="J282" s="8"/>
    </row>
    <row r="283" spans="1:10" x14ac:dyDescent="0.35">
      <c r="A283" s="8"/>
      <c r="B283" s="26">
        <v>100</v>
      </c>
      <c r="C283" s="26" t="str">
        <f>IF(表5_710[[#This Row],[字典键]]="","",90200000+ROW()-4)</f>
        <v/>
      </c>
      <c r="D283" s="7"/>
      <c r="E283" s="49"/>
      <c r="F283" s="7"/>
      <c r="G283" s="32"/>
      <c r="H283" s="32"/>
      <c r="I283" s="34"/>
      <c r="J283" s="8"/>
    </row>
    <row r="284" spans="1:10" x14ac:dyDescent="0.35">
      <c r="A284" s="8"/>
      <c r="B284" s="26">
        <v>100</v>
      </c>
      <c r="C284" s="26" t="str">
        <f>IF(表5_710[[#This Row],[字典键]]="","",90200000+ROW()-4)</f>
        <v/>
      </c>
      <c r="D284" s="7"/>
      <c r="E284" s="49"/>
      <c r="F284" s="7"/>
      <c r="G284" s="32"/>
      <c r="H284" s="32"/>
      <c r="I284" s="34"/>
      <c r="J284" s="8"/>
    </row>
    <row r="285" spans="1:10" x14ac:dyDescent="0.35">
      <c r="A285" s="8"/>
      <c r="B285" s="26">
        <v>100</v>
      </c>
      <c r="C285" s="26" t="str">
        <f>IF(表5_710[[#This Row],[字典键]]="","",90200000+ROW()-4)</f>
        <v/>
      </c>
      <c r="D285" s="7"/>
      <c r="E285" s="49"/>
      <c r="F285" s="7"/>
      <c r="G285" s="32"/>
      <c r="H285" s="32"/>
      <c r="I285" s="34"/>
      <c r="J285" s="8"/>
    </row>
    <row r="286" spans="1:10" x14ac:dyDescent="0.35">
      <c r="A286" s="8"/>
      <c r="B286" s="26">
        <v>100</v>
      </c>
      <c r="C286" s="26" t="str">
        <f>IF(表5_710[[#This Row],[字典键]]="","",90200000+ROW()-4)</f>
        <v/>
      </c>
      <c r="D286" s="7"/>
      <c r="E286" s="49"/>
      <c r="F286" s="7"/>
      <c r="G286" s="32"/>
      <c r="H286" s="32"/>
      <c r="I286" s="34"/>
      <c r="J286" s="8"/>
    </row>
    <row r="287" spans="1:10" x14ac:dyDescent="0.35">
      <c r="A287" s="8"/>
      <c r="B287" s="26">
        <v>100</v>
      </c>
      <c r="C287" s="26" t="str">
        <f>IF(表5_710[[#This Row],[字典键]]="","",90200000+ROW()-4)</f>
        <v/>
      </c>
      <c r="D287" s="7"/>
      <c r="E287" s="49"/>
      <c r="F287" s="7"/>
      <c r="G287" s="32"/>
      <c r="H287" s="32"/>
      <c r="I287" s="34"/>
      <c r="J287" s="8"/>
    </row>
    <row r="288" spans="1:10" x14ac:dyDescent="0.35">
      <c r="A288" s="8"/>
      <c r="B288" s="26">
        <v>100</v>
      </c>
      <c r="C288" s="26" t="str">
        <f>IF(表5_710[[#This Row],[字典键]]="","",90200000+ROW()-4)</f>
        <v/>
      </c>
      <c r="D288" s="7"/>
      <c r="E288" s="49"/>
      <c r="F288" s="7"/>
      <c r="G288" s="32"/>
      <c r="H288" s="32"/>
      <c r="I288" s="34"/>
      <c r="J288" s="8"/>
    </row>
    <row r="289" spans="1:10" x14ac:dyDescent="0.35">
      <c r="A289" s="8"/>
      <c r="B289" s="26">
        <v>100</v>
      </c>
      <c r="C289" s="26" t="str">
        <f>IF(表5_710[[#This Row],[字典键]]="","",90200000+ROW()-4)</f>
        <v/>
      </c>
      <c r="D289" s="7"/>
      <c r="E289" s="49"/>
      <c r="F289" s="7"/>
      <c r="G289" s="32"/>
      <c r="H289" s="32"/>
      <c r="I289" s="34"/>
      <c r="J289" s="8"/>
    </row>
    <row r="290" spans="1:10" x14ac:dyDescent="0.35">
      <c r="A290" s="8"/>
      <c r="B290" s="26">
        <v>100</v>
      </c>
      <c r="C290" s="26" t="str">
        <f>IF(表5_710[[#This Row],[字典键]]="","",90200000+ROW()-4)</f>
        <v/>
      </c>
      <c r="D290" s="7"/>
      <c r="E290" s="49"/>
      <c r="F290" s="7"/>
      <c r="G290" s="32"/>
      <c r="H290" s="32"/>
      <c r="I290" s="34"/>
      <c r="J290" s="8"/>
    </row>
    <row r="291" spans="1:10" x14ac:dyDescent="0.35">
      <c r="A291" s="8"/>
      <c r="B291" s="26">
        <v>100</v>
      </c>
      <c r="C291" s="26" t="str">
        <f>IF(表5_710[[#This Row],[字典键]]="","",90200000+ROW()-4)</f>
        <v/>
      </c>
      <c r="D291" s="7"/>
      <c r="E291" s="49"/>
      <c r="F291" s="7"/>
      <c r="G291" s="32"/>
      <c r="H291" s="32"/>
      <c r="I291" s="34"/>
      <c r="J291" s="8"/>
    </row>
    <row r="292" spans="1:10" x14ac:dyDescent="0.35">
      <c r="A292" s="8"/>
      <c r="B292" s="26">
        <v>100</v>
      </c>
      <c r="C292" s="26" t="str">
        <f>IF(表5_710[[#This Row],[字典键]]="","",90200000+ROW()-4)</f>
        <v/>
      </c>
      <c r="D292" s="7"/>
      <c r="E292" s="49"/>
      <c r="F292" s="7"/>
      <c r="G292" s="32"/>
      <c r="H292" s="32"/>
      <c r="I292" s="34"/>
      <c r="J292" s="8"/>
    </row>
    <row r="293" spans="1:10" x14ac:dyDescent="0.35">
      <c r="A293" s="8"/>
      <c r="B293" s="26">
        <v>100</v>
      </c>
      <c r="C293" s="26" t="str">
        <f>IF(表5_710[[#This Row],[字典键]]="","",90200000+ROW()-4)</f>
        <v/>
      </c>
      <c r="D293" s="7"/>
      <c r="E293" s="49"/>
      <c r="F293" s="7"/>
      <c r="G293" s="32"/>
      <c r="H293" s="32"/>
      <c r="I293" s="34"/>
      <c r="J293" s="8"/>
    </row>
    <row r="294" spans="1:10" x14ac:dyDescent="0.35">
      <c r="A294" s="8"/>
      <c r="B294" s="26">
        <v>100</v>
      </c>
      <c r="C294" s="26" t="str">
        <f>IF(表5_710[[#This Row],[字典键]]="","",90200000+ROW()-4)</f>
        <v/>
      </c>
      <c r="D294" s="7"/>
      <c r="E294" s="49"/>
      <c r="F294" s="7"/>
      <c r="G294" s="32"/>
      <c r="H294" s="32"/>
      <c r="I294" s="34"/>
      <c r="J294" s="8"/>
    </row>
    <row r="295" spans="1:10" x14ac:dyDescent="0.35">
      <c r="A295" s="8"/>
      <c r="B295" s="26">
        <v>100</v>
      </c>
      <c r="C295" s="26" t="str">
        <f>IF(表5_710[[#This Row],[字典键]]="","",90200000+ROW()-4)</f>
        <v/>
      </c>
      <c r="D295" s="7"/>
      <c r="E295" s="49"/>
      <c r="F295" s="7"/>
      <c r="G295" s="32"/>
      <c r="H295" s="32"/>
      <c r="I295" s="34"/>
      <c r="J295" s="8"/>
    </row>
    <row r="296" spans="1:10" x14ac:dyDescent="0.35">
      <c r="A296" s="8"/>
      <c r="B296" s="26">
        <v>100</v>
      </c>
      <c r="C296" s="26" t="str">
        <f>IF(表5_710[[#This Row],[字典键]]="","",90200000+ROW()-4)</f>
        <v/>
      </c>
      <c r="D296" s="7"/>
      <c r="E296" s="49"/>
      <c r="F296" s="7"/>
      <c r="G296" s="32"/>
      <c r="H296" s="32"/>
      <c r="I296" s="34"/>
      <c r="J296" s="8"/>
    </row>
    <row r="297" spans="1:10" x14ac:dyDescent="0.35">
      <c r="A297" s="8"/>
      <c r="B297" s="26">
        <v>100</v>
      </c>
      <c r="C297" s="26" t="str">
        <f>IF(表5_710[[#This Row],[字典键]]="","",90200000+ROW()-4)</f>
        <v/>
      </c>
      <c r="D297" s="7"/>
      <c r="E297" s="49"/>
      <c r="F297" s="7"/>
      <c r="G297" s="32"/>
      <c r="H297" s="32"/>
      <c r="I297" s="34"/>
      <c r="J297" s="8"/>
    </row>
    <row r="298" spans="1:10" x14ac:dyDescent="0.35">
      <c r="A298" s="8"/>
      <c r="B298" s="26">
        <v>100</v>
      </c>
      <c r="C298" s="26" t="str">
        <f>IF(表5_710[[#This Row],[字典键]]="","",90200000+ROW()-4)</f>
        <v/>
      </c>
      <c r="D298" s="7"/>
      <c r="E298" s="49"/>
      <c r="F298" s="7"/>
      <c r="G298" s="32"/>
      <c r="H298" s="32"/>
      <c r="I298" s="34"/>
      <c r="J298" s="8"/>
    </row>
    <row r="299" spans="1:10" x14ac:dyDescent="0.35">
      <c r="A299" s="8"/>
      <c r="B299" s="26">
        <v>100</v>
      </c>
      <c r="C299" s="26" t="str">
        <f>IF(表5_710[[#This Row],[字典键]]="","",90200000+ROW()-4)</f>
        <v/>
      </c>
      <c r="D299" s="7"/>
      <c r="E299" s="49"/>
      <c r="F299" s="7"/>
      <c r="G299" s="32"/>
      <c r="H299" s="32"/>
      <c r="I299" s="34"/>
      <c r="J299" s="8"/>
    </row>
    <row r="300" spans="1:10" x14ac:dyDescent="0.35">
      <c r="A300" s="8"/>
      <c r="B300" s="26">
        <v>100</v>
      </c>
      <c r="C300" s="26" t="str">
        <f>IF(表5_710[[#This Row],[字典键]]="","",90200000+ROW()-4)</f>
        <v/>
      </c>
      <c r="D300" s="7"/>
      <c r="E300" s="49"/>
      <c r="F300" s="7"/>
      <c r="G300" s="32"/>
      <c r="H300" s="32"/>
      <c r="I300" s="34"/>
      <c r="J300" s="8"/>
    </row>
    <row r="301" spans="1:10" x14ac:dyDescent="0.35">
      <c r="A301" s="8"/>
      <c r="B301" s="26">
        <v>100</v>
      </c>
      <c r="C301" s="26" t="str">
        <f>IF(表5_710[[#This Row],[字典键]]="","",90200000+ROW()-4)</f>
        <v/>
      </c>
      <c r="D301" s="7"/>
      <c r="E301" s="49"/>
      <c r="F301" s="7"/>
      <c r="G301" s="32"/>
      <c r="H301" s="32"/>
      <c r="I301" s="34"/>
      <c r="J301" s="8"/>
    </row>
    <row r="302" spans="1:10" x14ac:dyDescent="0.35">
      <c r="A302" s="8"/>
      <c r="B302" s="26">
        <v>100</v>
      </c>
      <c r="C302" s="26" t="str">
        <f>IF(表5_710[[#This Row],[字典键]]="","",90200000+ROW()-4)</f>
        <v/>
      </c>
      <c r="D302" s="7"/>
      <c r="E302" s="49"/>
      <c r="F302" s="7"/>
      <c r="G302" s="32"/>
      <c r="H302" s="32"/>
      <c r="I302" s="34"/>
      <c r="J302" s="8"/>
    </row>
    <row r="303" spans="1:10" x14ac:dyDescent="0.35">
      <c r="A303" s="8"/>
      <c r="B303" s="26">
        <v>100</v>
      </c>
      <c r="C303" s="26" t="str">
        <f>IF(表5_710[[#This Row],[字典键]]="","",90200000+ROW()-4)</f>
        <v/>
      </c>
      <c r="D303" s="7"/>
      <c r="E303" s="49"/>
      <c r="F303" s="7"/>
      <c r="G303" s="32"/>
      <c r="H303" s="32"/>
      <c r="I303" s="34"/>
      <c r="J303" s="8"/>
    </row>
    <row r="304" spans="1:10" x14ac:dyDescent="0.35">
      <c r="A304" s="8"/>
      <c r="B304" s="26">
        <v>100</v>
      </c>
      <c r="C304" s="26" t="str">
        <f>IF(表5_710[[#This Row],[字典键]]="","",90200000+ROW()-4)</f>
        <v/>
      </c>
      <c r="D304" s="7"/>
      <c r="E304" s="49"/>
      <c r="F304" s="7"/>
      <c r="G304" s="32"/>
      <c r="H304" s="32"/>
      <c r="I304" s="34"/>
      <c r="J304" s="8"/>
    </row>
    <row r="305" spans="1:10" x14ac:dyDescent="0.35">
      <c r="A305" s="8"/>
      <c r="B305" s="26">
        <v>100</v>
      </c>
      <c r="C305" s="26" t="str">
        <f>IF(表5_710[[#This Row],[字典键]]="","",90200000+ROW()-4)</f>
        <v/>
      </c>
      <c r="D305" s="7"/>
      <c r="E305" s="49"/>
      <c r="F305" s="7"/>
      <c r="G305" s="32"/>
      <c r="H305" s="32"/>
      <c r="I305" s="34"/>
      <c r="J305" s="8"/>
    </row>
    <row r="306" spans="1:10" x14ac:dyDescent="0.35">
      <c r="A306" s="8"/>
      <c r="B306" s="26">
        <v>100</v>
      </c>
      <c r="C306" s="26" t="str">
        <f>IF(表5_710[[#This Row],[字典键]]="","",90200000+ROW()-4)</f>
        <v/>
      </c>
      <c r="D306" s="7"/>
      <c r="E306" s="49"/>
      <c r="F306" s="7"/>
      <c r="G306" s="32"/>
      <c r="H306" s="32"/>
      <c r="I306" s="34"/>
      <c r="J306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41513-70A0-4428-B3CA-67C628BD9A04}">
  <sheetPr codeName="Sheet5">
    <tabColor theme="0" tint="-0.499984740745262"/>
  </sheetPr>
  <dimension ref="A1:H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3" width="15.625" style="10" customWidth="1"/>
    <col min="4" max="4" width="30.625" style="10" customWidth="1"/>
    <col min="5" max="6" width="15.625" style="10" customWidth="1"/>
    <col min="7" max="7" width="30.625" style="10" customWidth="1"/>
    <col min="8" max="8" width="50.625" style="10" customWidth="1"/>
    <col min="9" max="16384" width="10.625" style="10"/>
  </cols>
  <sheetData>
    <row r="1" spans="1:8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40</v>
      </c>
      <c r="G1" s="5" t="s">
        <v>40</v>
      </c>
      <c r="H1" s="6" t="s">
        <v>74</v>
      </c>
    </row>
    <row r="2" spans="1:8" x14ac:dyDescent="0.35">
      <c r="A2" s="12" t="s">
        <v>6</v>
      </c>
      <c r="B2" s="1" t="s">
        <v>30</v>
      </c>
      <c r="C2" s="2" t="s">
        <v>33</v>
      </c>
      <c r="D2" s="2" t="s">
        <v>138</v>
      </c>
      <c r="E2" s="2" t="s">
        <v>1505</v>
      </c>
      <c r="F2" s="2" t="s">
        <v>76</v>
      </c>
      <c r="G2" s="2" t="s">
        <v>159</v>
      </c>
      <c r="H2" s="3" t="s">
        <v>74</v>
      </c>
    </row>
    <row r="3" spans="1:8" x14ac:dyDescent="0.35">
      <c r="A3" s="24" t="s">
        <v>9</v>
      </c>
      <c r="B3" s="25" t="s">
        <v>31</v>
      </c>
      <c r="C3" s="26" t="s">
        <v>160</v>
      </c>
      <c r="D3" s="26" t="s">
        <v>161</v>
      </c>
      <c r="E3" s="26" t="s">
        <v>162</v>
      </c>
      <c r="F3" s="26" t="s">
        <v>163</v>
      </c>
      <c r="G3" s="26" t="s">
        <v>164</v>
      </c>
      <c r="H3" s="25" t="s">
        <v>80</v>
      </c>
    </row>
    <row r="4" spans="1:8" x14ac:dyDescent="0.35">
      <c r="A4" s="27" t="s">
        <v>104</v>
      </c>
      <c r="B4" s="27"/>
      <c r="C4" s="27" t="s">
        <v>165</v>
      </c>
      <c r="D4" s="30" t="s">
        <v>166</v>
      </c>
      <c r="E4" s="27" t="s">
        <v>167</v>
      </c>
      <c r="F4" s="30" t="s">
        <v>163</v>
      </c>
      <c r="G4" s="30" t="s">
        <v>164</v>
      </c>
      <c r="H4" s="27" t="s">
        <v>128</v>
      </c>
    </row>
    <row r="5" spans="1:8" x14ac:dyDescent="0.35">
      <c r="A5" s="28"/>
      <c r="B5" s="26">
        <v>100</v>
      </c>
      <c r="C5" s="26"/>
      <c r="D5" s="33"/>
      <c r="E5" s="26"/>
      <c r="F5" s="31"/>
      <c r="G5" s="33"/>
      <c r="H5" s="28"/>
    </row>
    <row r="6" spans="1:8" x14ac:dyDescent="0.35">
      <c r="A6" s="28"/>
      <c r="B6" s="26">
        <v>100</v>
      </c>
      <c r="C6" s="26"/>
      <c r="D6" s="33"/>
      <c r="E6" s="26"/>
      <c r="F6" s="31"/>
      <c r="G6" s="33"/>
      <c r="H6" s="28"/>
    </row>
    <row r="7" spans="1:8" x14ac:dyDescent="0.35">
      <c r="A7" s="28"/>
      <c r="B7" s="26">
        <v>100</v>
      </c>
      <c r="C7" s="26"/>
      <c r="D7" s="33"/>
      <c r="E7" s="26"/>
      <c r="F7" s="31"/>
      <c r="G7" s="33"/>
      <c r="H7" s="28"/>
    </row>
    <row r="8" spans="1:8" x14ac:dyDescent="0.35">
      <c r="A8" s="28"/>
      <c r="B8" s="26">
        <v>100</v>
      </c>
      <c r="C8" s="26"/>
      <c r="D8" s="33"/>
      <c r="E8" s="26"/>
      <c r="F8" s="31"/>
      <c r="G8" s="33"/>
      <c r="H8" s="28"/>
    </row>
    <row r="9" spans="1:8" x14ac:dyDescent="0.35">
      <c r="A9" s="28"/>
      <c r="B9" s="26">
        <v>100</v>
      </c>
      <c r="C9" s="26"/>
      <c r="D9" s="33"/>
      <c r="E9" s="26"/>
      <c r="F9" s="31"/>
      <c r="G9" s="33"/>
      <c r="H9" s="28"/>
    </row>
    <row r="10" spans="1:8" x14ac:dyDescent="0.35">
      <c r="A10" s="28"/>
      <c r="B10" s="26">
        <v>100</v>
      </c>
      <c r="C10" s="26"/>
      <c r="D10" s="33"/>
      <c r="E10" s="26"/>
      <c r="F10" s="31"/>
      <c r="G10" s="33"/>
      <c r="H10" s="28"/>
    </row>
    <row r="11" spans="1:8" x14ac:dyDescent="0.35">
      <c r="A11" s="8"/>
      <c r="B11" s="26">
        <v>100</v>
      </c>
      <c r="C11" s="7"/>
      <c r="D11" s="34"/>
      <c r="E11" s="7"/>
      <c r="F11" s="32"/>
      <c r="G11" s="34"/>
      <c r="H11" s="8"/>
    </row>
    <row r="12" spans="1:8" x14ac:dyDescent="0.35">
      <c r="A12" s="8"/>
      <c r="B12" s="26">
        <v>100</v>
      </c>
      <c r="C12" s="7"/>
      <c r="D12" s="34"/>
      <c r="E12" s="7"/>
      <c r="F12" s="32"/>
      <c r="G12" s="34"/>
      <c r="H12" s="8"/>
    </row>
    <row r="13" spans="1:8" x14ac:dyDescent="0.35">
      <c r="A13" s="8"/>
      <c r="B13" s="26">
        <v>100</v>
      </c>
      <c r="C13" s="7"/>
      <c r="D13" s="34"/>
      <c r="E13" s="7"/>
      <c r="F13" s="32"/>
      <c r="G13" s="34"/>
      <c r="H13" s="8"/>
    </row>
    <row r="14" spans="1:8" x14ac:dyDescent="0.35">
      <c r="A14" s="8"/>
      <c r="B14" s="26">
        <v>100</v>
      </c>
      <c r="C14" s="7"/>
      <c r="D14" s="34"/>
      <c r="E14" s="7"/>
      <c r="F14" s="32"/>
      <c r="G14" s="34"/>
      <c r="H14" s="8"/>
    </row>
    <row r="15" spans="1:8" x14ac:dyDescent="0.35">
      <c r="A15" s="8"/>
      <c r="B15" s="7"/>
      <c r="C15" s="7"/>
      <c r="D15" s="34"/>
      <c r="E15" s="7"/>
      <c r="F15" s="32"/>
      <c r="G15" s="34"/>
      <c r="H15" s="8"/>
    </row>
    <row r="16" spans="1:8" x14ac:dyDescent="0.35">
      <c r="A16" s="8"/>
      <c r="B16" s="7"/>
      <c r="C16" s="7"/>
      <c r="D16" s="34"/>
      <c r="E16" s="7"/>
      <c r="F16" s="32"/>
      <c r="G16" s="34"/>
      <c r="H16" s="8"/>
    </row>
    <row r="17" spans="1:8" x14ac:dyDescent="0.35">
      <c r="A17" s="8"/>
      <c r="B17" s="7"/>
      <c r="C17" s="7"/>
      <c r="D17" s="34"/>
      <c r="E17" s="7"/>
      <c r="F17" s="32"/>
      <c r="G17" s="34"/>
      <c r="H17" s="8"/>
    </row>
    <row r="18" spans="1:8" x14ac:dyDescent="0.35">
      <c r="A18" s="8"/>
      <c r="B18" s="7"/>
      <c r="C18" s="7"/>
      <c r="D18" s="34"/>
      <c r="E18" s="7"/>
      <c r="F18" s="32"/>
      <c r="G18" s="34"/>
      <c r="H18" s="8"/>
    </row>
    <row r="19" spans="1:8" x14ac:dyDescent="0.35">
      <c r="A19" s="8"/>
      <c r="B19" s="7"/>
      <c r="C19" s="7"/>
      <c r="D19" s="34"/>
      <c r="E19" s="7"/>
      <c r="F19" s="32"/>
      <c r="G19" s="34"/>
      <c r="H19" s="8"/>
    </row>
    <row r="20" spans="1:8" x14ac:dyDescent="0.35">
      <c r="A20" s="8"/>
      <c r="B20" s="7"/>
      <c r="C20" s="7"/>
      <c r="D20" s="34"/>
      <c r="E20" s="7"/>
      <c r="F20" s="32"/>
      <c r="G20" s="34"/>
      <c r="H20" s="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72AF7-1E86-4197-A334-E9C5333BDD13}">
  <sheetPr codeName="Sheet6"/>
  <dimension ref="A1:O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3" width="15.625" style="10" customWidth="1"/>
    <col min="4" max="4" width="30.625" style="10" customWidth="1"/>
    <col min="5" max="6" width="15.625" style="10" customWidth="1"/>
    <col min="7" max="7" width="20.625" style="10" customWidth="1"/>
    <col min="8" max="9" width="30.625" style="10" customWidth="1"/>
    <col min="10" max="13" width="15.625" style="10" customWidth="1"/>
    <col min="14" max="14" width="20.625" style="10" customWidth="1"/>
    <col min="15" max="15" width="50.625" style="10" customWidth="1"/>
    <col min="16" max="16384" width="10.625" style="10"/>
  </cols>
  <sheetData>
    <row r="1" spans="1:15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38</v>
      </c>
      <c r="G1" s="5" t="s">
        <v>40</v>
      </c>
      <c r="H1" s="5" t="s">
        <v>40</v>
      </c>
      <c r="I1" s="5" t="s">
        <v>40</v>
      </c>
      <c r="J1" s="5" t="s">
        <v>38</v>
      </c>
      <c r="K1" s="5" t="s">
        <v>38</v>
      </c>
      <c r="L1" s="5" t="s">
        <v>49</v>
      </c>
      <c r="M1" s="5" t="s">
        <v>38</v>
      </c>
      <c r="N1" s="5" t="s">
        <v>55</v>
      </c>
      <c r="O1" s="6" t="s">
        <v>74</v>
      </c>
    </row>
    <row r="2" spans="1:15" x14ac:dyDescent="0.35">
      <c r="A2" s="12" t="s">
        <v>6</v>
      </c>
      <c r="B2" s="1" t="s">
        <v>30</v>
      </c>
      <c r="C2" s="2" t="s">
        <v>33</v>
      </c>
      <c r="D2" s="2" t="s">
        <v>138</v>
      </c>
      <c r="E2" s="2" t="s">
        <v>70</v>
      </c>
      <c r="F2" s="2" t="s">
        <v>174</v>
      </c>
      <c r="G2" s="2" t="s">
        <v>76</v>
      </c>
      <c r="H2" s="2" t="s">
        <v>179</v>
      </c>
      <c r="I2" s="2" t="s">
        <v>182</v>
      </c>
      <c r="J2" s="2" t="s">
        <v>185</v>
      </c>
      <c r="K2" s="2" t="s">
        <v>188</v>
      </c>
      <c r="L2" s="2" t="s">
        <v>191</v>
      </c>
      <c r="M2" s="2" t="s">
        <v>194</v>
      </c>
      <c r="N2" s="2" t="s">
        <v>197</v>
      </c>
      <c r="O2" s="3" t="s">
        <v>74</v>
      </c>
    </row>
    <row r="3" spans="1:15" x14ac:dyDescent="0.35">
      <c r="A3" s="24" t="s">
        <v>9</v>
      </c>
      <c r="B3" s="25" t="s">
        <v>31</v>
      </c>
      <c r="C3" s="26" t="s">
        <v>168</v>
      </c>
      <c r="D3" s="26" t="s">
        <v>170</v>
      </c>
      <c r="E3" s="26" t="s">
        <v>172</v>
      </c>
      <c r="F3" s="26" t="s">
        <v>175</v>
      </c>
      <c r="G3" s="26" t="s">
        <v>177</v>
      </c>
      <c r="H3" s="26" t="s">
        <v>180</v>
      </c>
      <c r="I3" s="26" t="s">
        <v>183</v>
      </c>
      <c r="J3" s="26" t="s">
        <v>186</v>
      </c>
      <c r="K3" s="26" t="s">
        <v>189</v>
      </c>
      <c r="L3" s="26" t="s">
        <v>192</v>
      </c>
      <c r="M3" s="26" t="s">
        <v>195</v>
      </c>
      <c r="N3" s="26" t="s">
        <v>198</v>
      </c>
      <c r="O3" s="25" t="s">
        <v>80</v>
      </c>
    </row>
    <row r="4" spans="1:15" x14ac:dyDescent="0.35">
      <c r="A4" s="27" t="s">
        <v>104</v>
      </c>
      <c r="B4" s="27"/>
      <c r="C4" s="27" t="s">
        <v>169</v>
      </c>
      <c r="D4" s="30" t="s">
        <v>171</v>
      </c>
      <c r="E4" s="27" t="s">
        <v>173</v>
      </c>
      <c r="F4" s="27" t="s">
        <v>176</v>
      </c>
      <c r="G4" s="30" t="s">
        <v>178</v>
      </c>
      <c r="H4" s="30" t="s">
        <v>181</v>
      </c>
      <c r="I4" s="30" t="s">
        <v>184</v>
      </c>
      <c r="J4" s="27" t="s">
        <v>187</v>
      </c>
      <c r="K4" s="27" t="s">
        <v>190</v>
      </c>
      <c r="L4" s="30" t="s">
        <v>193</v>
      </c>
      <c r="M4" s="27" t="s">
        <v>196</v>
      </c>
      <c r="N4" s="30" t="s">
        <v>199</v>
      </c>
      <c r="O4" s="27" t="s">
        <v>128</v>
      </c>
    </row>
    <row r="5" spans="1:15" x14ac:dyDescent="0.35">
      <c r="A5" s="28"/>
      <c r="B5" s="26">
        <v>100</v>
      </c>
      <c r="C5" s="26"/>
      <c r="D5" s="33"/>
      <c r="E5" s="26"/>
      <c r="F5" s="26"/>
      <c r="G5" s="31"/>
      <c r="H5" s="33"/>
      <c r="I5" s="33"/>
      <c r="J5" s="26"/>
      <c r="K5" s="26"/>
      <c r="L5" s="33"/>
      <c r="M5" s="26"/>
      <c r="N5" s="33"/>
      <c r="O5" s="28"/>
    </row>
    <row r="6" spans="1:15" x14ac:dyDescent="0.35">
      <c r="A6" s="28"/>
      <c r="B6" s="26">
        <v>100</v>
      </c>
      <c r="C6" s="26"/>
      <c r="D6" s="33"/>
      <c r="E6" s="26"/>
      <c r="F6" s="26"/>
      <c r="G6" s="31"/>
      <c r="H6" s="33"/>
      <c r="I6" s="33"/>
      <c r="J6" s="26"/>
      <c r="K6" s="26"/>
      <c r="L6" s="33"/>
      <c r="M6" s="26"/>
      <c r="N6" s="33"/>
      <c r="O6" s="28"/>
    </row>
    <row r="7" spans="1:15" x14ac:dyDescent="0.35">
      <c r="A7" s="28"/>
      <c r="B7" s="26">
        <v>100</v>
      </c>
      <c r="C7" s="26"/>
      <c r="D7" s="33"/>
      <c r="E7" s="26"/>
      <c r="F7" s="26"/>
      <c r="G7" s="31"/>
      <c r="H7" s="33"/>
      <c r="I7" s="33"/>
      <c r="J7" s="26"/>
      <c r="K7" s="26"/>
      <c r="L7" s="33"/>
      <c r="M7" s="26"/>
      <c r="N7" s="33"/>
      <c r="O7" s="28"/>
    </row>
    <row r="8" spans="1:15" x14ac:dyDescent="0.35">
      <c r="A8" s="28"/>
      <c r="B8" s="26">
        <v>100</v>
      </c>
      <c r="C8" s="26"/>
      <c r="D8" s="33"/>
      <c r="E8" s="26"/>
      <c r="F8" s="26"/>
      <c r="G8" s="31"/>
      <c r="H8" s="33"/>
      <c r="I8" s="33"/>
      <c r="J8" s="26"/>
      <c r="K8" s="26"/>
      <c r="L8" s="33"/>
      <c r="M8" s="26"/>
      <c r="N8" s="33"/>
      <c r="O8" s="28"/>
    </row>
    <row r="9" spans="1:15" x14ac:dyDescent="0.35">
      <c r="A9" s="28"/>
      <c r="B9" s="26">
        <v>100</v>
      </c>
      <c r="C9" s="26"/>
      <c r="D9" s="33"/>
      <c r="E9" s="26"/>
      <c r="F9" s="26"/>
      <c r="G9" s="31"/>
      <c r="H9" s="33"/>
      <c r="I9" s="33"/>
      <c r="J9" s="26"/>
      <c r="K9" s="26"/>
      <c r="L9" s="33"/>
      <c r="M9" s="26"/>
      <c r="N9" s="33"/>
      <c r="O9" s="28"/>
    </row>
    <row r="10" spans="1:15" x14ac:dyDescent="0.35">
      <c r="A10" s="28"/>
      <c r="B10" s="26">
        <v>100</v>
      </c>
      <c r="C10" s="26"/>
      <c r="D10" s="33"/>
      <c r="E10" s="26"/>
      <c r="F10" s="26"/>
      <c r="G10" s="31"/>
      <c r="H10" s="33"/>
      <c r="I10" s="33"/>
      <c r="J10" s="26"/>
      <c r="K10" s="26"/>
      <c r="L10" s="33"/>
      <c r="M10" s="26"/>
      <c r="N10" s="33"/>
      <c r="O10" s="28"/>
    </row>
    <row r="11" spans="1:15" x14ac:dyDescent="0.35">
      <c r="A11" s="8"/>
      <c r="B11" s="26">
        <v>100</v>
      </c>
      <c r="C11" s="7"/>
      <c r="D11" s="34"/>
      <c r="E11" s="7"/>
      <c r="F11" s="7"/>
      <c r="G11" s="32"/>
      <c r="H11" s="34"/>
      <c r="I11" s="34"/>
      <c r="J11" s="7"/>
      <c r="K11" s="7"/>
      <c r="L11" s="34"/>
      <c r="M11" s="7"/>
      <c r="N11" s="34"/>
      <c r="O11" s="8"/>
    </row>
    <row r="12" spans="1:15" x14ac:dyDescent="0.35">
      <c r="A12" s="8"/>
      <c r="B12" s="26">
        <v>100</v>
      </c>
      <c r="C12" s="7"/>
      <c r="D12" s="34"/>
      <c r="E12" s="7"/>
      <c r="F12" s="7"/>
      <c r="G12" s="32"/>
      <c r="H12" s="34"/>
      <c r="I12" s="34"/>
      <c r="J12" s="7"/>
      <c r="K12" s="7"/>
      <c r="L12" s="34"/>
      <c r="M12" s="7"/>
      <c r="N12" s="34"/>
      <c r="O12" s="8"/>
    </row>
    <row r="13" spans="1:15" x14ac:dyDescent="0.35">
      <c r="A13" s="8"/>
      <c r="B13" s="26">
        <v>100</v>
      </c>
      <c r="C13" s="7"/>
      <c r="D13" s="34"/>
      <c r="E13" s="7"/>
      <c r="F13" s="7"/>
      <c r="G13" s="32"/>
      <c r="H13" s="34"/>
      <c r="I13" s="34"/>
      <c r="J13" s="7"/>
      <c r="K13" s="7"/>
      <c r="L13" s="34"/>
      <c r="M13" s="7"/>
      <c r="N13" s="34"/>
      <c r="O13" s="8"/>
    </row>
    <row r="14" spans="1:15" x14ac:dyDescent="0.35">
      <c r="A14" s="8"/>
      <c r="B14" s="26">
        <v>100</v>
      </c>
      <c r="C14" s="7"/>
      <c r="D14" s="34"/>
      <c r="E14" s="7"/>
      <c r="F14" s="7"/>
      <c r="G14" s="32"/>
      <c r="H14" s="34"/>
      <c r="I14" s="34"/>
      <c r="J14" s="7"/>
      <c r="K14" s="7"/>
      <c r="L14" s="34"/>
      <c r="M14" s="7"/>
      <c r="N14" s="34"/>
      <c r="O14" s="8"/>
    </row>
    <row r="15" spans="1:15" x14ac:dyDescent="0.35">
      <c r="A15" s="8"/>
      <c r="B15" s="7"/>
      <c r="C15" s="7"/>
      <c r="D15" s="34"/>
      <c r="E15" s="7"/>
      <c r="F15" s="7"/>
      <c r="G15" s="32"/>
      <c r="H15" s="34"/>
      <c r="I15" s="34"/>
      <c r="J15" s="7"/>
      <c r="K15" s="7"/>
      <c r="L15" s="34"/>
      <c r="M15" s="7"/>
      <c r="N15" s="34"/>
      <c r="O15" s="8"/>
    </row>
    <row r="16" spans="1:15" x14ac:dyDescent="0.35">
      <c r="A16" s="8"/>
      <c r="B16" s="7"/>
      <c r="C16" s="7"/>
      <c r="D16" s="34"/>
      <c r="E16" s="7"/>
      <c r="F16" s="7"/>
      <c r="G16" s="32"/>
      <c r="H16" s="34"/>
      <c r="I16" s="34"/>
      <c r="J16" s="7"/>
      <c r="K16" s="7"/>
      <c r="L16" s="34"/>
      <c r="M16" s="7"/>
      <c r="N16" s="34"/>
      <c r="O16" s="8"/>
    </row>
    <row r="17" spans="1:15" x14ac:dyDescent="0.35">
      <c r="A17" s="8"/>
      <c r="B17" s="7"/>
      <c r="C17" s="7"/>
      <c r="D17" s="34"/>
      <c r="E17" s="7"/>
      <c r="F17" s="7"/>
      <c r="G17" s="32"/>
      <c r="H17" s="34"/>
      <c r="I17" s="34"/>
      <c r="J17" s="7"/>
      <c r="K17" s="7"/>
      <c r="L17" s="34"/>
      <c r="M17" s="7"/>
      <c r="N17" s="34"/>
      <c r="O17" s="8"/>
    </row>
    <row r="18" spans="1:15" x14ac:dyDescent="0.35">
      <c r="A18" s="8"/>
      <c r="B18" s="7"/>
      <c r="C18" s="7"/>
      <c r="D18" s="34"/>
      <c r="E18" s="7"/>
      <c r="F18" s="7"/>
      <c r="G18" s="32"/>
      <c r="H18" s="34"/>
      <c r="I18" s="34"/>
      <c r="J18" s="7"/>
      <c r="K18" s="7"/>
      <c r="L18" s="34"/>
      <c r="M18" s="7"/>
      <c r="N18" s="34"/>
      <c r="O18" s="8"/>
    </row>
    <row r="19" spans="1:15" x14ac:dyDescent="0.35">
      <c r="A19" s="8"/>
      <c r="B19" s="7"/>
      <c r="C19" s="7"/>
      <c r="D19" s="34"/>
      <c r="E19" s="7"/>
      <c r="F19" s="7"/>
      <c r="G19" s="32"/>
      <c r="H19" s="34"/>
      <c r="I19" s="34"/>
      <c r="J19" s="7"/>
      <c r="K19" s="7"/>
      <c r="L19" s="34"/>
      <c r="M19" s="7"/>
      <c r="N19" s="34"/>
      <c r="O19" s="8"/>
    </row>
    <row r="20" spans="1:15" x14ac:dyDescent="0.35">
      <c r="A20" s="8"/>
      <c r="B20" s="7"/>
      <c r="C20" s="7"/>
      <c r="D20" s="34"/>
      <c r="E20" s="7"/>
      <c r="F20" s="7"/>
      <c r="G20" s="32"/>
      <c r="H20" s="34"/>
      <c r="I20" s="34"/>
      <c r="J20" s="7"/>
      <c r="K20" s="7"/>
      <c r="L20" s="34"/>
      <c r="M20" s="7"/>
      <c r="N20" s="34"/>
      <c r="O20" s="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982B7-EB54-4073-9F9B-A700EEDCC44E}">
  <sheetPr codeName="Sheet7">
    <tabColor theme="0" tint="-0.499984740745262"/>
  </sheetPr>
  <dimension ref="A1:K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10" customWidth="1"/>
    <col min="7" max="7" width="20.625" style="10" customWidth="1"/>
    <col min="8" max="10" width="30.625" style="10" customWidth="1"/>
    <col min="11" max="11" width="50.625" style="10" customWidth="1"/>
    <col min="12" max="16384" width="10.625" style="10"/>
  </cols>
  <sheetData>
    <row r="1" spans="1:11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38</v>
      </c>
      <c r="G1" s="5" t="s">
        <v>40</v>
      </c>
      <c r="H1" s="5" t="s">
        <v>40</v>
      </c>
      <c r="I1" s="5" t="s">
        <v>40</v>
      </c>
      <c r="J1" s="5" t="s">
        <v>55</v>
      </c>
      <c r="K1" s="6" t="s">
        <v>74</v>
      </c>
    </row>
    <row r="2" spans="1:11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174</v>
      </c>
      <c r="G2" s="2" t="s">
        <v>76</v>
      </c>
      <c r="H2" s="2" t="s">
        <v>179</v>
      </c>
      <c r="I2" s="2" t="s">
        <v>182</v>
      </c>
      <c r="J2" s="2" t="s">
        <v>200</v>
      </c>
      <c r="K2" s="3" t="s">
        <v>74</v>
      </c>
    </row>
    <row r="3" spans="1:11" x14ac:dyDescent="0.35">
      <c r="A3" s="24" t="s">
        <v>9</v>
      </c>
      <c r="B3" s="25" t="s">
        <v>31</v>
      </c>
      <c r="C3" s="26" t="s">
        <v>201</v>
      </c>
      <c r="D3" s="26" t="s">
        <v>149</v>
      </c>
      <c r="E3" s="26" t="s">
        <v>202</v>
      </c>
      <c r="F3" s="26" t="s">
        <v>203</v>
      </c>
      <c r="G3" s="26" t="s">
        <v>204</v>
      </c>
      <c r="H3" s="26" t="s">
        <v>205</v>
      </c>
      <c r="I3" s="26" t="s">
        <v>206</v>
      </c>
      <c r="J3" s="26" t="s">
        <v>207</v>
      </c>
      <c r="K3" s="25" t="s">
        <v>80</v>
      </c>
    </row>
    <row r="4" spans="1:11" x14ac:dyDescent="0.35">
      <c r="A4" s="27" t="s">
        <v>104</v>
      </c>
      <c r="B4" s="27"/>
      <c r="C4" s="27" t="s">
        <v>208</v>
      </c>
      <c r="D4" s="27" t="s">
        <v>209</v>
      </c>
      <c r="E4" s="27" t="s">
        <v>210</v>
      </c>
      <c r="F4" s="27" t="s">
        <v>211</v>
      </c>
      <c r="G4" s="30" t="s">
        <v>212</v>
      </c>
      <c r="H4" s="30" t="s">
        <v>213</v>
      </c>
      <c r="I4" s="30" t="s">
        <v>214</v>
      </c>
      <c r="J4" s="30" t="s">
        <v>215</v>
      </c>
      <c r="K4" s="27" t="s">
        <v>128</v>
      </c>
    </row>
    <row r="5" spans="1:11" x14ac:dyDescent="0.35">
      <c r="A5" s="28"/>
      <c r="B5" s="26">
        <v>100</v>
      </c>
      <c r="C5" s="26"/>
      <c r="D5" s="26"/>
      <c r="E5" s="26"/>
      <c r="F5" s="29"/>
      <c r="G5" s="31"/>
      <c r="H5" s="33"/>
      <c r="I5" s="33"/>
      <c r="J5" s="33"/>
      <c r="K5" s="28"/>
    </row>
    <row r="6" spans="1:11" x14ac:dyDescent="0.35">
      <c r="A6" s="28"/>
      <c r="B6" s="26">
        <v>100</v>
      </c>
      <c r="C6" s="26"/>
      <c r="D6" s="26"/>
      <c r="E6" s="26"/>
      <c r="F6" s="29"/>
      <c r="G6" s="31"/>
      <c r="H6" s="33"/>
      <c r="I6" s="33"/>
      <c r="J6" s="33"/>
      <c r="K6" s="28"/>
    </row>
    <row r="7" spans="1:11" x14ac:dyDescent="0.35">
      <c r="A7" s="28"/>
      <c r="B7" s="26">
        <v>100</v>
      </c>
      <c r="C7" s="26"/>
      <c r="D7" s="26"/>
      <c r="E7" s="26"/>
      <c r="F7" s="29"/>
      <c r="G7" s="31"/>
      <c r="H7" s="33"/>
      <c r="I7" s="33"/>
      <c r="J7" s="33"/>
      <c r="K7" s="28"/>
    </row>
    <row r="8" spans="1:11" x14ac:dyDescent="0.35">
      <c r="A8" s="28"/>
      <c r="B8" s="26">
        <v>100</v>
      </c>
      <c r="C8" s="26"/>
      <c r="D8" s="26"/>
      <c r="E8" s="26"/>
      <c r="F8" s="29"/>
      <c r="G8" s="31"/>
      <c r="H8" s="33"/>
      <c r="I8" s="33"/>
      <c r="J8" s="33"/>
      <c r="K8" s="28"/>
    </row>
    <row r="9" spans="1:11" x14ac:dyDescent="0.35">
      <c r="A9" s="28"/>
      <c r="B9" s="26">
        <v>100</v>
      </c>
      <c r="C9" s="26"/>
      <c r="D9" s="26"/>
      <c r="E9" s="26"/>
      <c r="F9" s="29"/>
      <c r="G9" s="31"/>
      <c r="H9" s="33"/>
      <c r="I9" s="33"/>
      <c r="J9" s="33"/>
      <c r="K9" s="28"/>
    </row>
    <row r="10" spans="1:11" x14ac:dyDescent="0.35">
      <c r="A10" s="28"/>
      <c r="B10" s="26">
        <v>100</v>
      </c>
      <c r="C10" s="26"/>
      <c r="D10" s="26"/>
      <c r="E10" s="26"/>
      <c r="F10" s="29"/>
      <c r="G10" s="31"/>
      <c r="H10" s="33"/>
      <c r="I10" s="33"/>
      <c r="J10" s="33"/>
      <c r="K10" s="28"/>
    </row>
    <row r="11" spans="1:11" x14ac:dyDescent="0.35">
      <c r="A11" s="8"/>
      <c r="B11" s="26">
        <v>100</v>
      </c>
      <c r="C11" s="7"/>
      <c r="D11" s="7"/>
      <c r="E11" s="7"/>
      <c r="F11" s="7"/>
      <c r="G11" s="32"/>
      <c r="H11" s="34"/>
      <c r="I11" s="34"/>
      <c r="J11" s="34"/>
      <c r="K11" s="8"/>
    </row>
    <row r="12" spans="1:11" x14ac:dyDescent="0.35">
      <c r="A12" s="8"/>
      <c r="B12" s="26">
        <v>100</v>
      </c>
      <c r="C12" s="7"/>
      <c r="D12" s="7"/>
      <c r="E12" s="7"/>
      <c r="F12" s="7"/>
      <c r="G12" s="32"/>
      <c r="H12" s="34"/>
      <c r="I12" s="34"/>
      <c r="J12" s="34"/>
      <c r="K12" s="8"/>
    </row>
    <row r="13" spans="1:11" x14ac:dyDescent="0.35">
      <c r="A13" s="8"/>
      <c r="B13" s="26">
        <v>100</v>
      </c>
      <c r="C13" s="7"/>
      <c r="D13" s="7"/>
      <c r="E13" s="7"/>
      <c r="F13" s="7"/>
      <c r="G13" s="32"/>
      <c r="H13" s="34"/>
      <c r="I13" s="34"/>
      <c r="J13" s="34"/>
      <c r="K13" s="8"/>
    </row>
    <row r="14" spans="1:11" x14ac:dyDescent="0.35">
      <c r="A14" s="8"/>
      <c r="B14" s="26">
        <v>100</v>
      </c>
      <c r="C14" s="7"/>
      <c r="D14" s="7"/>
      <c r="E14" s="7"/>
      <c r="F14" s="7"/>
      <c r="G14" s="32"/>
      <c r="H14" s="34"/>
      <c r="I14" s="34"/>
      <c r="J14" s="34"/>
      <c r="K14" s="8"/>
    </row>
    <row r="15" spans="1:11" x14ac:dyDescent="0.35">
      <c r="A15" s="8"/>
      <c r="B15" s="7"/>
      <c r="C15" s="7"/>
      <c r="D15" s="7"/>
      <c r="E15" s="7"/>
      <c r="F15" s="7"/>
      <c r="G15" s="32"/>
      <c r="H15" s="34"/>
      <c r="I15" s="34"/>
      <c r="J15" s="34"/>
      <c r="K15" s="8"/>
    </row>
    <row r="16" spans="1:11" x14ac:dyDescent="0.35">
      <c r="A16" s="8"/>
      <c r="B16" s="7"/>
      <c r="C16" s="7"/>
      <c r="D16" s="7"/>
      <c r="E16" s="7"/>
      <c r="F16" s="7"/>
      <c r="G16" s="32"/>
      <c r="H16" s="34"/>
      <c r="I16" s="34"/>
      <c r="J16" s="34"/>
      <c r="K16" s="8"/>
    </row>
    <row r="17" spans="1:11" x14ac:dyDescent="0.35">
      <c r="A17" s="8"/>
      <c r="B17" s="7"/>
      <c r="C17" s="7"/>
      <c r="D17" s="7"/>
      <c r="E17" s="7"/>
      <c r="F17" s="7"/>
      <c r="G17" s="32"/>
      <c r="H17" s="34"/>
      <c r="I17" s="34"/>
      <c r="J17" s="34"/>
      <c r="K17" s="8"/>
    </row>
    <row r="18" spans="1:11" x14ac:dyDescent="0.35">
      <c r="A18" s="8"/>
      <c r="B18" s="7"/>
      <c r="C18" s="7"/>
      <c r="D18" s="7"/>
      <c r="E18" s="7"/>
      <c r="F18" s="7"/>
      <c r="G18" s="32"/>
      <c r="H18" s="34"/>
      <c r="I18" s="34"/>
      <c r="J18" s="34"/>
      <c r="K18" s="8"/>
    </row>
    <row r="19" spans="1:11" x14ac:dyDescent="0.35">
      <c r="A19" s="8"/>
      <c r="B19" s="7"/>
      <c r="C19" s="7"/>
      <c r="D19" s="7"/>
      <c r="E19" s="7"/>
      <c r="F19" s="7"/>
      <c r="G19" s="32"/>
      <c r="H19" s="34"/>
      <c r="I19" s="34"/>
      <c r="J19" s="34"/>
      <c r="K19" s="8"/>
    </row>
    <row r="20" spans="1:11" x14ac:dyDescent="0.35">
      <c r="A20" s="8"/>
      <c r="B20" s="7"/>
      <c r="C20" s="7"/>
      <c r="D20" s="7"/>
      <c r="E20" s="7"/>
      <c r="F20" s="7"/>
      <c r="G20" s="32"/>
      <c r="H20" s="34"/>
      <c r="I20" s="34"/>
      <c r="J20" s="34"/>
      <c r="K20" s="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D1E1C-6B07-42F2-B355-1166BC4E7090}">
  <sheetPr codeName="Sheet8"/>
  <dimension ref="A1:J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10" customWidth="1"/>
    <col min="7" max="8" width="20.625" style="10" customWidth="1"/>
    <col min="9" max="9" width="30.625" style="10" customWidth="1"/>
    <col min="10" max="10" width="50.625" style="10" customWidth="1"/>
    <col min="11" max="16384" width="10.625" style="10"/>
  </cols>
  <sheetData>
    <row r="1" spans="1:10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38</v>
      </c>
      <c r="G1" s="5" t="s">
        <v>46</v>
      </c>
      <c r="H1" s="5" t="s">
        <v>40</v>
      </c>
      <c r="I1" s="5" t="s">
        <v>40</v>
      </c>
      <c r="J1" s="6" t="s">
        <v>74</v>
      </c>
    </row>
    <row r="2" spans="1:10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174</v>
      </c>
      <c r="G2" s="2" t="s">
        <v>223</v>
      </c>
      <c r="H2" s="2" t="s">
        <v>226</v>
      </c>
      <c r="I2" s="2" t="s">
        <v>1501</v>
      </c>
      <c r="J2" s="3" t="s">
        <v>74</v>
      </c>
    </row>
    <row r="3" spans="1:10" x14ac:dyDescent="0.35">
      <c r="A3" s="24" t="s">
        <v>9</v>
      </c>
      <c r="B3" s="25" t="s">
        <v>31</v>
      </c>
      <c r="C3" s="26" t="s">
        <v>216</v>
      </c>
      <c r="D3" s="26" t="s">
        <v>149</v>
      </c>
      <c r="E3" s="26" t="s">
        <v>219</v>
      </c>
      <c r="F3" s="26" t="s">
        <v>221</v>
      </c>
      <c r="G3" s="26" t="s">
        <v>224</v>
      </c>
      <c r="H3" s="26" t="s">
        <v>227</v>
      </c>
      <c r="I3" s="26" t="s">
        <v>229</v>
      </c>
      <c r="J3" s="25" t="s">
        <v>80</v>
      </c>
    </row>
    <row r="4" spans="1:10" x14ac:dyDescent="0.35">
      <c r="A4" s="27" t="s">
        <v>104</v>
      </c>
      <c r="B4" s="27"/>
      <c r="C4" s="27" t="s">
        <v>217</v>
      </c>
      <c r="D4" s="27" t="s">
        <v>218</v>
      </c>
      <c r="E4" s="27" t="s">
        <v>220</v>
      </c>
      <c r="F4" s="27" t="s">
        <v>222</v>
      </c>
      <c r="G4" s="30" t="s">
        <v>225</v>
      </c>
      <c r="H4" s="30" t="s">
        <v>228</v>
      </c>
      <c r="I4" s="30" t="s">
        <v>230</v>
      </c>
      <c r="J4" s="27" t="s">
        <v>128</v>
      </c>
    </row>
    <row r="5" spans="1:10" x14ac:dyDescent="0.35">
      <c r="A5" s="28"/>
      <c r="B5" s="26">
        <v>100</v>
      </c>
      <c r="C5" s="26"/>
      <c r="D5" s="26"/>
      <c r="E5" s="26"/>
      <c r="F5" s="29"/>
      <c r="G5" s="33"/>
      <c r="H5" s="33"/>
      <c r="I5" s="33"/>
      <c r="J5" s="28"/>
    </row>
    <row r="6" spans="1:10" x14ac:dyDescent="0.35">
      <c r="A6" s="28"/>
      <c r="B6" s="26">
        <v>100</v>
      </c>
      <c r="C6" s="26"/>
      <c r="D6" s="26"/>
      <c r="E6" s="26"/>
      <c r="F6" s="29"/>
      <c r="G6" s="33"/>
      <c r="H6" s="33"/>
      <c r="I6" s="33"/>
      <c r="J6" s="28"/>
    </row>
    <row r="7" spans="1:10" x14ac:dyDescent="0.35">
      <c r="A7" s="28"/>
      <c r="B7" s="26">
        <v>100</v>
      </c>
      <c r="C7" s="26"/>
      <c r="D7" s="26"/>
      <c r="E7" s="26"/>
      <c r="F7" s="29"/>
      <c r="G7" s="33"/>
      <c r="H7" s="33"/>
      <c r="I7" s="33"/>
      <c r="J7" s="28"/>
    </row>
    <row r="8" spans="1:10" x14ac:dyDescent="0.35">
      <c r="A8" s="28"/>
      <c r="B8" s="26">
        <v>100</v>
      </c>
      <c r="C8" s="26"/>
      <c r="D8" s="26"/>
      <c r="E8" s="26"/>
      <c r="F8" s="29"/>
      <c r="G8" s="33"/>
      <c r="H8" s="33"/>
      <c r="I8" s="33"/>
      <c r="J8" s="28"/>
    </row>
    <row r="9" spans="1:10" x14ac:dyDescent="0.35">
      <c r="A9" s="28"/>
      <c r="B9" s="26">
        <v>100</v>
      </c>
      <c r="C9" s="26"/>
      <c r="D9" s="26"/>
      <c r="E9" s="26"/>
      <c r="F9" s="29"/>
      <c r="G9" s="33"/>
      <c r="H9" s="33"/>
      <c r="I9" s="33"/>
      <c r="J9" s="28"/>
    </row>
    <row r="10" spans="1:10" x14ac:dyDescent="0.35">
      <c r="A10" s="28"/>
      <c r="B10" s="26">
        <v>100</v>
      </c>
      <c r="C10" s="26"/>
      <c r="D10" s="26"/>
      <c r="E10" s="26"/>
      <c r="F10" s="29"/>
      <c r="G10" s="33"/>
      <c r="H10" s="33"/>
      <c r="I10" s="33"/>
      <c r="J10" s="28"/>
    </row>
    <row r="11" spans="1:10" x14ac:dyDescent="0.35">
      <c r="A11" s="8"/>
      <c r="B11" s="26">
        <v>100</v>
      </c>
      <c r="C11" s="7"/>
      <c r="D11" s="7"/>
      <c r="E11" s="7"/>
      <c r="F11" s="7"/>
      <c r="G11" s="34"/>
      <c r="H11" s="34"/>
      <c r="I11" s="34"/>
      <c r="J11" s="8"/>
    </row>
    <row r="12" spans="1:10" x14ac:dyDescent="0.35">
      <c r="A12" s="8"/>
      <c r="B12" s="26">
        <v>100</v>
      </c>
      <c r="C12" s="7"/>
      <c r="D12" s="7"/>
      <c r="E12" s="7"/>
      <c r="F12" s="7"/>
      <c r="G12" s="34"/>
      <c r="H12" s="34"/>
      <c r="I12" s="34"/>
      <c r="J12" s="8"/>
    </row>
    <row r="13" spans="1:10" x14ac:dyDescent="0.35">
      <c r="A13" s="8"/>
      <c r="B13" s="26">
        <v>100</v>
      </c>
      <c r="C13" s="7"/>
      <c r="D13" s="7"/>
      <c r="E13" s="7"/>
      <c r="F13" s="7"/>
      <c r="G13" s="34"/>
      <c r="H13" s="34"/>
      <c r="I13" s="34"/>
      <c r="J13" s="8"/>
    </row>
    <row r="14" spans="1:10" x14ac:dyDescent="0.35">
      <c r="A14" s="8"/>
      <c r="B14" s="26">
        <v>100</v>
      </c>
      <c r="C14" s="7"/>
      <c r="D14" s="7"/>
      <c r="E14" s="7"/>
      <c r="F14" s="7"/>
      <c r="G14" s="34"/>
      <c r="H14" s="34"/>
      <c r="I14" s="34"/>
      <c r="J14" s="8"/>
    </row>
    <row r="15" spans="1:10" x14ac:dyDescent="0.35">
      <c r="A15" s="8"/>
      <c r="B15" s="7"/>
      <c r="C15" s="7"/>
      <c r="D15" s="7"/>
      <c r="E15" s="7"/>
      <c r="F15" s="7"/>
      <c r="G15" s="34"/>
      <c r="H15" s="34"/>
      <c r="I15" s="34"/>
      <c r="J15" s="8"/>
    </row>
    <row r="16" spans="1:10" x14ac:dyDescent="0.35">
      <c r="A16" s="8"/>
      <c r="B16" s="7"/>
      <c r="C16" s="7"/>
      <c r="D16" s="7"/>
      <c r="E16" s="7"/>
      <c r="F16" s="7"/>
      <c r="G16" s="34"/>
      <c r="H16" s="34"/>
      <c r="I16" s="34"/>
      <c r="J16" s="8"/>
    </row>
    <row r="17" spans="1:10" x14ac:dyDescent="0.35">
      <c r="A17" s="8"/>
      <c r="B17" s="7"/>
      <c r="C17" s="7"/>
      <c r="D17" s="7"/>
      <c r="E17" s="7"/>
      <c r="F17" s="7"/>
      <c r="G17" s="34"/>
      <c r="H17" s="34"/>
      <c r="I17" s="34"/>
      <c r="J17" s="8"/>
    </row>
    <row r="18" spans="1:10" x14ac:dyDescent="0.35">
      <c r="A18" s="8"/>
      <c r="B18" s="7"/>
      <c r="C18" s="7"/>
      <c r="D18" s="7"/>
      <c r="E18" s="7"/>
      <c r="F18" s="7"/>
      <c r="G18" s="34"/>
      <c r="H18" s="34"/>
      <c r="I18" s="34"/>
      <c r="J18" s="8"/>
    </row>
    <row r="19" spans="1:10" x14ac:dyDescent="0.35">
      <c r="A19" s="8"/>
      <c r="B19" s="7"/>
      <c r="C19" s="7"/>
      <c r="D19" s="7"/>
      <c r="E19" s="7"/>
      <c r="F19" s="7"/>
      <c r="G19" s="34"/>
      <c r="H19" s="34"/>
      <c r="I19" s="34"/>
      <c r="J19" s="8"/>
    </row>
    <row r="20" spans="1:10" x14ac:dyDescent="0.35">
      <c r="A20" s="8"/>
      <c r="B20" s="7"/>
      <c r="C20" s="7"/>
      <c r="D20" s="7"/>
      <c r="E20" s="7"/>
      <c r="F20" s="7"/>
      <c r="G20" s="34"/>
      <c r="H20" s="34"/>
      <c r="I20" s="34"/>
      <c r="J20" s="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B222A-A988-4AE1-942C-497589E0BB4E}">
  <sheetPr codeName="Sheet9">
    <tabColor rgb="FFC00000"/>
  </sheetPr>
  <dimension ref="A1:L10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10" customWidth="1"/>
    <col min="7" max="8" width="30.625" style="10" customWidth="1"/>
    <col min="9" max="9" width="15.625" style="10" customWidth="1"/>
    <col min="10" max="10" width="20.625" style="10" customWidth="1"/>
    <col min="11" max="11" width="30.625" style="10" customWidth="1"/>
    <col min="12" max="12" width="50.625" style="10" customWidth="1"/>
    <col min="13" max="16384" width="10.625" style="10"/>
  </cols>
  <sheetData>
    <row r="1" spans="1:12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101</v>
      </c>
      <c r="G1" s="5" t="s">
        <v>1525</v>
      </c>
      <c r="H1" s="5" t="s">
        <v>231</v>
      </c>
      <c r="I1" s="5" t="s">
        <v>43</v>
      </c>
      <c r="J1" s="5" t="s">
        <v>40</v>
      </c>
      <c r="K1" s="5" t="s">
        <v>40</v>
      </c>
      <c r="L1" s="6" t="s">
        <v>74</v>
      </c>
    </row>
    <row r="2" spans="1:12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3416</v>
      </c>
      <c r="G2" s="2" t="s">
        <v>1524</v>
      </c>
      <c r="H2" s="2" t="s">
        <v>232</v>
      </c>
      <c r="I2" s="2" t="s">
        <v>233</v>
      </c>
      <c r="J2" s="2" t="s">
        <v>226</v>
      </c>
      <c r="K2" s="2" t="s">
        <v>1501</v>
      </c>
      <c r="L2" s="3" t="s">
        <v>74</v>
      </c>
    </row>
    <row r="3" spans="1:12" x14ac:dyDescent="0.35">
      <c r="A3" s="24" t="s">
        <v>9</v>
      </c>
      <c r="B3" s="25" t="s">
        <v>31</v>
      </c>
      <c r="C3" s="26" t="s">
        <v>234</v>
      </c>
      <c r="D3" s="26" t="s">
        <v>149</v>
      </c>
      <c r="E3" s="26" t="s">
        <v>235</v>
      </c>
      <c r="F3" s="26" t="s">
        <v>3417</v>
      </c>
      <c r="G3" s="26" t="s">
        <v>236</v>
      </c>
      <c r="H3" s="26" t="s">
        <v>237</v>
      </c>
      <c r="I3" s="26" t="s">
        <v>238</v>
      </c>
      <c r="J3" s="26" t="s">
        <v>239</v>
      </c>
      <c r="K3" s="26" t="s">
        <v>240</v>
      </c>
      <c r="L3" s="25" t="s">
        <v>80</v>
      </c>
    </row>
    <row r="4" spans="1:12" ht="16.5" customHeight="1" x14ac:dyDescent="0.35">
      <c r="A4" s="27" t="s">
        <v>104</v>
      </c>
      <c r="B4" s="27"/>
      <c r="C4" s="27" t="s">
        <v>3213</v>
      </c>
      <c r="D4" s="27" t="s">
        <v>241</v>
      </c>
      <c r="E4" s="27" t="s">
        <v>3435</v>
      </c>
      <c r="F4" s="27" t="s">
        <v>3418</v>
      </c>
      <c r="G4" s="30" t="s">
        <v>242</v>
      </c>
      <c r="H4" s="30" t="s">
        <v>243</v>
      </c>
      <c r="I4" s="30" t="s">
        <v>244</v>
      </c>
      <c r="J4" s="30" t="s">
        <v>245</v>
      </c>
      <c r="K4" s="30" t="s">
        <v>246</v>
      </c>
      <c r="L4" s="27" t="s">
        <v>128</v>
      </c>
    </row>
    <row r="5" spans="1:12" x14ac:dyDescent="0.35">
      <c r="A5" s="64" t="s">
        <v>104</v>
      </c>
      <c r="B5" s="59">
        <v>100</v>
      </c>
      <c r="C5" s="59" t="s">
        <v>3215</v>
      </c>
      <c r="D5" s="59" t="s">
        <v>3219</v>
      </c>
      <c r="E5" s="59"/>
      <c r="F5" s="59"/>
      <c r="G5" s="65"/>
      <c r="H5" s="65"/>
      <c r="I5" s="66"/>
      <c r="J5" s="65"/>
      <c r="K5" s="65"/>
      <c r="L5" s="63" t="s">
        <v>3331</v>
      </c>
    </row>
    <row r="6" spans="1:12" x14ac:dyDescent="0.35">
      <c r="A6" s="28"/>
      <c r="B6" s="26">
        <v>100</v>
      </c>
      <c r="C6" s="26">
        <v>92200001</v>
      </c>
      <c r="D6" s="26"/>
      <c r="E6" s="26">
        <v>2</v>
      </c>
      <c r="F6" s="26"/>
      <c r="G6" s="33" t="s">
        <v>3241</v>
      </c>
      <c r="H6" s="33"/>
      <c r="I6" s="31"/>
      <c r="J6" s="33"/>
      <c r="K6" s="33" t="s">
        <v>3242</v>
      </c>
      <c r="L6" t="s">
        <v>3424</v>
      </c>
    </row>
    <row r="7" spans="1:12" x14ac:dyDescent="0.35">
      <c r="A7" s="38"/>
      <c r="B7" s="39">
        <v>100</v>
      </c>
      <c r="C7" s="26">
        <v>92200002</v>
      </c>
      <c r="D7" s="39"/>
      <c r="E7" s="26">
        <v>2</v>
      </c>
      <c r="F7" s="26"/>
      <c r="G7" s="33" t="s">
        <v>3241</v>
      </c>
      <c r="H7" s="33"/>
      <c r="I7" s="31"/>
      <c r="J7" s="33"/>
      <c r="K7" s="33" t="s">
        <v>3425</v>
      </c>
      <c r="L7" t="s">
        <v>3224</v>
      </c>
    </row>
    <row r="8" spans="1:12" x14ac:dyDescent="0.35">
      <c r="A8" s="28"/>
      <c r="B8" s="26">
        <v>100</v>
      </c>
      <c r="C8" s="26">
        <v>92200003</v>
      </c>
      <c r="D8" s="26"/>
      <c r="E8" s="26">
        <v>31</v>
      </c>
      <c r="F8" s="26"/>
      <c r="G8" s="33"/>
      <c r="H8" s="33"/>
      <c r="I8" s="31"/>
      <c r="J8" s="33"/>
      <c r="K8" s="33" t="s">
        <v>3306</v>
      </c>
      <c r="L8" s="28" t="s">
        <v>3303</v>
      </c>
    </row>
    <row r="9" spans="1:12" x14ac:dyDescent="0.35">
      <c r="A9" s="38"/>
      <c r="B9" s="26">
        <v>100</v>
      </c>
      <c r="C9" s="26">
        <v>92200004</v>
      </c>
      <c r="D9" s="39"/>
      <c r="E9" s="39">
        <v>31</v>
      </c>
      <c r="F9" s="39"/>
      <c r="G9" s="41"/>
      <c r="H9" s="41"/>
      <c r="I9" s="37"/>
      <c r="J9" s="41"/>
      <c r="K9" s="41" t="s">
        <v>3311</v>
      </c>
      <c r="L9" s="38" t="s">
        <v>3304</v>
      </c>
    </row>
    <row r="10" spans="1:12" x14ac:dyDescent="0.35">
      <c r="A10" s="38"/>
      <c r="B10" s="26">
        <v>100</v>
      </c>
      <c r="C10" s="26">
        <v>92200005</v>
      </c>
      <c r="D10" s="26"/>
      <c r="E10" s="26">
        <v>3</v>
      </c>
      <c r="F10" s="26"/>
      <c r="G10" s="33" t="s">
        <v>3238</v>
      </c>
      <c r="H10" s="33"/>
      <c r="I10" s="31"/>
      <c r="J10" s="33"/>
      <c r="K10" s="33" t="s">
        <v>3237</v>
      </c>
      <c r="L10" t="s">
        <v>3212</v>
      </c>
    </row>
    <row r="11" spans="1:12" x14ac:dyDescent="0.35">
      <c r="A11" s="64" t="s">
        <v>104</v>
      </c>
      <c r="B11" s="59">
        <v>100</v>
      </c>
      <c r="C11" s="59" t="s">
        <v>3214</v>
      </c>
      <c r="D11" s="59" t="s">
        <v>3220</v>
      </c>
      <c r="E11" s="59"/>
      <c r="F11" s="59"/>
      <c r="G11" s="65"/>
      <c r="H11" s="65"/>
      <c r="I11" s="66"/>
      <c r="J11" s="65"/>
      <c r="K11" s="65"/>
      <c r="L11" s="63" t="s">
        <v>3332</v>
      </c>
    </row>
    <row r="12" spans="1:12" x14ac:dyDescent="0.35">
      <c r="A12" s="28" t="s">
        <v>104</v>
      </c>
      <c r="B12" s="26">
        <v>100</v>
      </c>
      <c r="C12" s="26">
        <v>92201001</v>
      </c>
      <c r="D12" s="26"/>
      <c r="E12" s="26"/>
      <c r="F12" s="26"/>
      <c r="G12" s="33"/>
      <c r="H12" s="33"/>
      <c r="I12" s="31"/>
      <c r="J12" s="33"/>
      <c r="K12" s="33"/>
      <c r="L12" t="s">
        <v>3234</v>
      </c>
    </row>
    <row r="13" spans="1:12" x14ac:dyDescent="0.35">
      <c r="A13" s="8"/>
      <c r="B13" s="26">
        <v>100</v>
      </c>
      <c r="C13" s="26">
        <v>92201002</v>
      </c>
      <c r="D13" s="7"/>
      <c r="E13" s="7">
        <v>2</v>
      </c>
      <c r="F13" s="7"/>
      <c r="G13" s="34"/>
      <c r="H13" s="34"/>
      <c r="I13" s="32" t="s">
        <v>1099</v>
      </c>
      <c r="J13" s="34"/>
      <c r="K13" s="34" t="s">
        <v>3239</v>
      </c>
      <c r="L13" t="s">
        <v>3235</v>
      </c>
    </row>
    <row r="14" spans="1:12" x14ac:dyDescent="0.35">
      <c r="A14" s="8"/>
      <c r="B14" s="26">
        <v>100</v>
      </c>
      <c r="C14" s="26">
        <v>92201003</v>
      </c>
      <c r="D14" s="7"/>
      <c r="E14" s="7">
        <v>3</v>
      </c>
      <c r="F14" s="7"/>
      <c r="G14" s="33" t="s">
        <v>3238</v>
      </c>
      <c r="H14" s="34"/>
      <c r="I14" s="32"/>
      <c r="J14" s="34"/>
      <c r="K14" s="34" t="s">
        <v>3240</v>
      </c>
      <c r="L14" t="s">
        <v>3236</v>
      </c>
    </row>
    <row r="15" spans="1:12" x14ac:dyDescent="0.35">
      <c r="A15" s="8"/>
      <c r="B15" s="26">
        <v>100</v>
      </c>
      <c r="C15" s="26">
        <v>92201004</v>
      </c>
      <c r="D15" s="7"/>
      <c r="E15" s="7">
        <v>11</v>
      </c>
      <c r="F15" s="7"/>
      <c r="G15" s="41"/>
      <c r="H15" s="34"/>
      <c r="I15" s="32"/>
      <c r="J15" s="34"/>
      <c r="K15" s="34" t="s">
        <v>3340</v>
      </c>
      <c r="L15" s="8" t="s">
        <v>3341</v>
      </c>
    </row>
    <row r="16" spans="1:12" x14ac:dyDescent="0.35">
      <c r="A16" s="8"/>
      <c r="B16" s="26">
        <v>100</v>
      </c>
      <c r="C16" s="26">
        <v>92201005</v>
      </c>
      <c r="D16" s="7"/>
      <c r="E16" s="7">
        <v>11</v>
      </c>
      <c r="F16" s="7"/>
      <c r="G16" s="41"/>
      <c r="H16" s="34"/>
      <c r="I16" s="32"/>
      <c r="J16" s="34"/>
      <c r="K16" s="34" t="s">
        <v>3342</v>
      </c>
      <c r="L16" s="8" t="s">
        <v>3343</v>
      </c>
    </row>
    <row r="17" spans="1:12" x14ac:dyDescent="0.35">
      <c r="A17" s="8"/>
      <c r="B17" s="26">
        <v>100</v>
      </c>
      <c r="C17" s="26">
        <v>92201006</v>
      </c>
      <c r="D17" s="7"/>
      <c r="E17" s="7">
        <v>12</v>
      </c>
      <c r="F17" s="7"/>
      <c r="G17" s="41" t="s">
        <v>3420</v>
      </c>
      <c r="H17" s="34"/>
      <c r="I17" s="32"/>
      <c r="J17" s="34"/>
      <c r="K17" s="34" t="s">
        <v>3421</v>
      </c>
      <c r="L17" s="8" t="s">
        <v>3419</v>
      </c>
    </row>
    <row r="18" spans="1:12" x14ac:dyDescent="0.35">
      <c r="A18" s="58" t="s">
        <v>104</v>
      </c>
      <c r="B18" s="59">
        <v>100</v>
      </c>
      <c r="C18" s="60" t="s">
        <v>3216</v>
      </c>
      <c r="D18" s="60" t="s">
        <v>3221</v>
      </c>
      <c r="E18" s="60"/>
      <c r="F18" s="60"/>
      <c r="G18" s="61"/>
      <c r="H18" s="61"/>
      <c r="I18" s="62"/>
      <c r="J18" s="61"/>
      <c r="K18" s="61"/>
      <c r="L18" s="63" t="s">
        <v>3333</v>
      </c>
    </row>
    <row r="19" spans="1:12" x14ac:dyDescent="0.35">
      <c r="A19" s="8" t="s">
        <v>104</v>
      </c>
      <c r="B19" s="26">
        <v>100</v>
      </c>
      <c r="C19" s="7">
        <v>92201101</v>
      </c>
      <c r="D19" s="7"/>
      <c r="E19" s="7"/>
      <c r="F19" s="7"/>
      <c r="G19" s="34"/>
      <c r="H19" s="34"/>
      <c r="I19" s="32"/>
      <c r="J19" s="34"/>
      <c r="K19" s="34"/>
      <c r="L19" s="8"/>
    </row>
    <row r="20" spans="1:12" x14ac:dyDescent="0.35">
      <c r="A20" s="58" t="s">
        <v>104</v>
      </c>
      <c r="B20" s="59">
        <v>100</v>
      </c>
      <c r="C20" s="60" t="s">
        <v>3217</v>
      </c>
      <c r="D20" s="60" t="s">
        <v>3222</v>
      </c>
      <c r="E20" s="60"/>
      <c r="F20" s="60"/>
      <c r="G20" s="61"/>
      <c r="H20" s="61"/>
      <c r="I20" s="62"/>
      <c r="J20" s="61"/>
      <c r="K20" s="61"/>
      <c r="L20" s="63" t="s">
        <v>3334</v>
      </c>
    </row>
    <row r="21" spans="1:12" x14ac:dyDescent="0.35">
      <c r="A21" s="8"/>
      <c r="B21" s="26">
        <v>100</v>
      </c>
      <c r="C21" s="7">
        <v>92202001</v>
      </c>
      <c r="D21" s="7" t="s">
        <v>3426</v>
      </c>
      <c r="E21" s="7">
        <v>5</v>
      </c>
      <c r="F21" s="7"/>
      <c r="G21" s="34"/>
      <c r="H21" s="34"/>
      <c r="I21" s="32"/>
      <c r="J21" s="34"/>
      <c r="K21" s="34" t="s">
        <v>3429</v>
      </c>
      <c r="L21" s="8" t="s">
        <v>3310</v>
      </c>
    </row>
    <row r="22" spans="1:12" x14ac:dyDescent="0.35">
      <c r="A22" s="8"/>
      <c r="B22" s="26">
        <v>100</v>
      </c>
      <c r="C22" s="7">
        <v>92202002</v>
      </c>
      <c r="D22" s="7" t="s">
        <v>3427</v>
      </c>
      <c r="E22" s="7">
        <v>5</v>
      </c>
      <c r="F22" s="7"/>
      <c r="G22" s="34"/>
      <c r="H22" s="34"/>
      <c r="I22" s="32"/>
      <c r="J22" s="34"/>
      <c r="K22" s="34" t="s">
        <v>3428</v>
      </c>
      <c r="L22" s="8" t="s">
        <v>3309</v>
      </c>
    </row>
    <row r="23" spans="1:12" x14ac:dyDescent="0.35">
      <c r="A23" s="8"/>
      <c r="B23" s="26">
        <v>100</v>
      </c>
      <c r="C23" s="7">
        <v>92202003</v>
      </c>
      <c r="D23" s="7" t="s">
        <v>3305</v>
      </c>
      <c r="E23" s="7">
        <v>1</v>
      </c>
      <c r="F23" s="7"/>
      <c r="G23" s="34"/>
      <c r="H23" s="34"/>
      <c r="I23" s="32"/>
      <c r="J23" s="34"/>
      <c r="K23" s="34" t="s">
        <v>3431</v>
      </c>
      <c r="L23" s="8" t="s">
        <v>3307</v>
      </c>
    </row>
    <row r="24" spans="1:12" x14ac:dyDescent="0.35">
      <c r="A24" s="8"/>
      <c r="B24" s="26">
        <v>100</v>
      </c>
      <c r="C24" s="7">
        <v>92202004</v>
      </c>
      <c r="D24" s="7" t="s">
        <v>3305</v>
      </c>
      <c r="E24" s="7">
        <v>1</v>
      </c>
      <c r="F24" s="7"/>
      <c r="G24" s="34"/>
      <c r="H24" s="34"/>
      <c r="I24" s="32"/>
      <c r="J24" s="34"/>
      <c r="K24" s="34" t="s">
        <v>3430</v>
      </c>
      <c r="L24" s="8" t="s">
        <v>3308</v>
      </c>
    </row>
    <row r="25" spans="1:12" x14ac:dyDescent="0.35">
      <c r="A25" s="58" t="s">
        <v>104</v>
      </c>
      <c r="B25" s="59">
        <v>100</v>
      </c>
      <c r="C25" s="60" t="s">
        <v>3218</v>
      </c>
      <c r="D25" s="60" t="s">
        <v>3223</v>
      </c>
      <c r="E25" s="60"/>
      <c r="F25" s="60"/>
      <c r="G25" s="61"/>
      <c r="H25" s="61"/>
      <c r="I25" s="62"/>
      <c r="J25" s="61"/>
      <c r="K25" s="61"/>
      <c r="L25" s="63" t="s">
        <v>3335</v>
      </c>
    </row>
    <row r="26" spans="1:12" x14ac:dyDescent="0.35">
      <c r="A26" s="8"/>
      <c r="B26" s="26">
        <v>100</v>
      </c>
      <c r="C26" s="7">
        <v>92203001</v>
      </c>
      <c r="D26" s="7"/>
      <c r="E26" s="7">
        <v>0</v>
      </c>
      <c r="F26" s="7"/>
      <c r="G26" s="34"/>
      <c r="H26" s="34"/>
      <c r="I26" s="32"/>
      <c r="J26" s="34"/>
      <c r="K26" s="57" t="s">
        <v>3243</v>
      </c>
      <c r="L26" s="8" t="s">
        <v>3255</v>
      </c>
    </row>
    <row r="27" spans="1:12" x14ac:dyDescent="0.35">
      <c r="A27" s="8"/>
      <c r="B27" s="26">
        <v>100</v>
      </c>
      <c r="C27" s="7">
        <v>92203002</v>
      </c>
      <c r="D27" s="7"/>
      <c r="E27" s="7">
        <v>0</v>
      </c>
      <c r="F27" s="7"/>
      <c r="G27" s="34"/>
      <c r="H27" s="34"/>
      <c r="I27" s="32"/>
      <c r="J27" s="34"/>
      <c r="K27" s="57" t="s">
        <v>3244</v>
      </c>
      <c r="L27" s="8" t="s">
        <v>3256</v>
      </c>
    </row>
    <row r="28" spans="1:12" x14ac:dyDescent="0.35">
      <c r="A28" s="8"/>
      <c r="B28" s="26">
        <v>100</v>
      </c>
      <c r="C28" s="7">
        <v>92203003</v>
      </c>
      <c r="D28" s="7"/>
      <c r="E28" s="7">
        <v>0</v>
      </c>
      <c r="F28" s="7"/>
      <c r="G28" s="34"/>
      <c r="H28" s="34"/>
      <c r="I28" s="32"/>
      <c r="J28" s="34"/>
      <c r="K28" s="57" t="s">
        <v>3245</v>
      </c>
      <c r="L28" s="8" t="s">
        <v>3257</v>
      </c>
    </row>
    <row r="29" spans="1:12" x14ac:dyDescent="0.35">
      <c r="A29" s="8"/>
      <c r="B29" s="26">
        <v>100</v>
      </c>
      <c r="C29" s="7">
        <v>92203004</v>
      </c>
      <c r="D29" s="7"/>
      <c r="E29" s="7">
        <v>0</v>
      </c>
      <c r="F29" s="7"/>
      <c r="G29" s="34"/>
      <c r="H29" s="34"/>
      <c r="I29" s="32"/>
      <c r="J29" s="34"/>
      <c r="K29" s="57" t="s">
        <v>3246</v>
      </c>
      <c r="L29" s="8" t="s">
        <v>3258</v>
      </c>
    </row>
    <row r="30" spans="1:12" x14ac:dyDescent="0.35">
      <c r="A30" s="8"/>
      <c r="B30" s="26">
        <v>100</v>
      </c>
      <c r="C30" s="7">
        <v>92203005</v>
      </c>
      <c r="D30" s="7"/>
      <c r="E30" s="7">
        <v>11</v>
      </c>
      <c r="F30" s="7"/>
      <c r="G30" s="34"/>
      <c r="H30" s="34"/>
      <c r="I30" s="32"/>
      <c r="J30" s="57" t="s">
        <v>3247</v>
      </c>
      <c r="K30" s="57"/>
      <c r="L30" s="8" t="s">
        <v>3225</v>
      </c>
    </row>
    <row r="31" spans="1:12" x14ac:dyDescent="0.35">
      <c r="A31" s="8"/>
      <c r="B31" s="26">
        <v>100</v>
      </c>
      <c r="C31" s="7">
        <v>92203006</v>
      </c>
      <c r="D31" s="7"/>
      <c r="E31" s="7">
        <v>11</v>
      </c>
      <c r="F31" s="7"/>
      <c r="G31" s="34"/>
      <c r="H31" s="34"/>
      <c r="I31" s="32"/>
      <c r="J31" s="57" t="s">
        <v>3248</v>
      </c>
      <c r="K31" s="57"/>
      <c r="L31" s="8" t="s">
        <v>3226</v>
      </c>
    </row>
    <row r="32" spans="1:12" x14ac:dyDescent="0.35">
      <c r="A32" s="8"/>
      <c r="B32" s="26">
        <v>100</v>
      </c>
      <c r="C32" s="7">
        <v>92203007</v>
      </c>
      <c r="D32" s="7"/>
      <c r="E32" s="7">
        <v>0</v>
      </c>
      <c r="F32" s="7"/>
      <c r="G32" s="34"/>
      <c r="H32" s="34"/>
      <c r="I32" s="32"/>
      <c r="J32" s="34"/>
      <c r="K32" s="57" t="s">
        <v>3434</v>
      </c>
      <c r="L32" s="8" t="s">
        <v>3433</v>
      </c>
    </row>
    <row r="33" spans="1:12" x14ac:dyDescent="0.35">
      <c r="A33" s="8"/>
      <c r="B33" s="26">
        <v>100</v>
      </c>
      <c r="C33" s="7">
        <v>92203008</v>
      </c>
      <c r="D33" s="7"/>
      <c r="E33" s="7">
        <v>2</v>
      </c>
      <c r="F33" s="7"/>
      <c r="G33" s="34"/>
      <c r="H33" s="34"/>
      <c r="I33" s="32"/>
      <c r="J33" s="34"/>
      <c r="K33" s="57" t="s">
        <v>3249</v>
      </c>
      <c r="L33" s="8" t="s">
        <v>3227</v>
      </c>
    </row>
    <row r="34" spans="1:12" x14ac:dyDescent="0.35">
      <c r="A34" s="8"/>
      <c r="B34" s="26">
        <v>100</v>
      </c>
      <c r="C34" s="7">
        <v>92203009</v>
      </c>
      <c r="D34" s="7"/>
      <c r="E34" s="7">
        <v>2</v>
      </c>
      <c r="F34" s="7"/>
      <c r="G34" s="34"/>
      <c r="H34" s="34"/>
      <c r="I34" s="32"/>
      <c r="J34" s="34"/>
      <c r="K34" s="57" t="s">
        <v>3250</v>
      </c>
      <c r="L34" s="8" t="s">
        <v>3254</v>
      </c>
    </row>
    <row r="35" spans="1:12" x14ac:dyDescent="0.35">
      <c r="A35" s="8"/>
      <c r="B35" s="26">
        <v>100</v>
      </c>
      <c r="C35" s="7">
        <v>92203010</v>
      </c>
      <c r="D35" s="7"/>
      <c r="E35" s="7">
        <v>2</v>
      </c>
      <c r="F35" s="7"/>
      <c r="G35" s="34"/>
      <c r="H35" s="34"/>
      <c r="I35" s="32"/>
      <c r="J35" s="34"/>
      <c r="K35" s="57" t="s">
        <v>3251</v>
      </c>
      <c r="L35" s="8" t="s">
        <v>3253</v>
      </c>
    </row>
    <row r="36" spans="1:12" x14ac:dyDescent="0.35">
      <c r="A36" s="8"/>
      <c r="B36" s="26">
        <v>100</v>
      </c>
      <c r="C36" s="7">
        <v>92203011</v>
      </c>
      <c r="D36" s="7"/>
      <c r="E36" s="7">
        <v>3</v>
      </c>
      <c r="F36" s="7"/>
      <c r="G36" s="34"/>
      <c r="H36" s="34"/>
      <c r="I36" s="32"/>
      <c r="J36" s="34"/>
      <c r="K36" s="57" t="s">
        <v>3415</v>
      </c>
      <c r="L36" s="8" t="s">
        <v>3252</v>
      </c>
    </row>
    <row r="37" spans="1:12" x14ac:dyDescent="0.35">
      <c r="A37" s="8"/>
      <c r="B37" s="26">
        <v>100</v>
      </c>
      <c r="C37" s="7">
        <v>92203012</v>
      </c>
      <c r="D37" s="7"/>
      <c r="E37" s="7">
        <v>0</v>
      </c>
      <c r="F37" s="7"/>
      <c r="G37" s="34"/>
      <c r="H37" s="34"/>
      <c r="I37" s="32"/>
      <c r="J37" s="34"/>
      <c r="K37" s="34" t="s">
        <v>3260</v>
      </c>
      <c r="L37" s="8" t="s">
        <v>3259</v>
      </c>
    </row>
    <row r="38" spans="1:12" x14ac:dyDescent="0.35">
      <c r="A38" s="8"/>
      <c r="B38" s="26">
        <v>100</v>
      </c>
      <c r="C38" s="7">
        <v>92203013</v>
      </c>
      <c r="D38" s="7"/>
      <c r="E38" s="7">
        <v>0</v>
      </c>
      <c r="F38" s="7"/>
      <c r="G38" s="34"/>
      <c r="H38" s="34"/>
      <c r="I38" s="32"/>
      <c r="J38" s="34"/>
      <c r="K38" s="34" t="s">
        <v>3270</v>
      </c>
      <c r="L38" s="8" t="s">
        <v>3261</v>
      </c>
    </row>
    <row r="39" spans="1:12" x14ac:dyDescent="0.35">
      <c r="A39" s="8"/>
      <c r="B39" s="26">
        <v>100</v>
      </c>
      <c r="C39" s="7">
        <v>92203014</v>
      </c>
      <c r="D39" s="7"/>
      <c r="E39" s="7">
        <v>0</v>
      </c>
      <c r="F39" s="7"/>
      <c r="G39" s="34"/>
      <c r="H39" s="34"/>
      <c r="I39" s="32"/>
      <c r="J39" s="34"/>
      <c r="K39" s="34" t="s">
        <v>3262</v>
      </c>
      <c r="L39" s="8" t="s">
        <v>3263</v>
      </c>
    </row>
    <row r="40" spans="1:12" x14ac:dyDescent="0.35">
      <c r="A40" s="8"/>
      <c r="B40" s="26">
        <v>100</v>
      </c>
      <c r="C40" s="7">
        <v>92203015</v>
      </c>
      <c r="D40" s="7"/>
      <c r="E40" s="7">
        <v>11</v>
      </c>
      <c r="F40" s="7"/>
      <c r="G40" s="34"/>
      <c r="H40" s="34"/>
      <c r="I40" s="32"/>
      <c r="J40" s="57" t="s">
        <v>3266</v>
      </c>
      <c r="K40" s="57"/>
      <c r="L40" s="8" t="s">
        <v>3264</v>
      </c>
    </row>
    <row r="41" spans="1:12" x14ac:dyDescent="0.35">
      <c r="A41" s="8"/>
      <c r="B41" s="26">
        <v>100</v>
      </c>
      <c r="C41" s="7">
        <v>92203016</v>
      </c>
      <c r="D41" s="7"/>
      <c r="E41" s="7">
        <v>11</v>
      </c>
      <c r="F41" s="7"/>
      <c r="G41" s="34"/>
      <c r="H41" s="34"/>
      <c r="I41" s="32"/>
      <c r="J41" s="57" t="s">
        <v>3267</v>
      </c>
      <c r="K41" s="57"/>
      <c r="L41" s="8" t="s">
        <v>3265</v>
      </c>
    </row>
    <row r="42" spans="1:12" x14ac:dyDescent="0.35">
      <c r="A42" s="8"/>
      <c r="B42" s="26">
        <v>100</v>
      </c>
      <c r="C42" s="7">
        <v>92203017</v>
      </c>
      <c r="D42" s="7"/>
      <c r="E42" s="7">
        <v>0</v>
      </c>
      <c r="F42" s="7"/>
      <c r="G42" s="34"/>
      <c r="H42" s="34"/>
      <c r="I42" s="32"/>
      <c r="J42" s="34"/>
      <c r="K42" s="34" t="s">
        <v>3269</v>
      </c>
      <c r="L42" s="8" t="s">
        <v>3273</v>
      </c>
    </row>
    <row r="43" spans="1:12" x14ac:dyDescent="0.35">
      <c r="A43" s="8"/>
      <c r="B43" s="26">
        <v>100</v>
      </c>
      <c r="C43" s="7">
        <v>92203018</v>
      </c>
      <c r="D43" s="7"/>
      <c r="E43" s="7">
        <v>0</v>
      </c>
      <c r="F43" s="7"/>
      <c r="G43" s="34"/>
      <c r="H43" s="34"/>
      <c r="I43" s="32"/>
      <c r="J43" s="34"/>
      <c r="K43" s="34" t="s">
        <v>3271</v>
      </c>
      <c r="L43" s="8" t="s">
        <v>3274</v>
      </c>
    </row>
    <row r="44" spans="1:12" x14ac:dyDescent="0.35">
      <c r="A44" s="8"/>
      <c r="B44" s="26">
        <v>100</v>
      </c>
      <c r="C44" s="7">
        <v>92203019</v>
      </c>
      <c r="D44" s="7"/>
      <c r="E44" s="7">
        <v>0</v>
      </c>
      <c r="F44" s="7"/>
      <c r="G44" s="34"/>
      <c r="H44" s="34"/>
      <c r="I44" s="32"/>
      <c r="J44" s="34"/>
      <c r="K44" s="34" t="s">
        <v>3272</v>
      </c>
      <c r="L44" s="8" t="s">
        <v>3268</v>
      </c>
    </row>
    <row r="45" spans="1:12" x14ac:dyDescent="0.35">
      <c r="A45" s="8"/>
      <c r="B45" s="26">
        <v>100</v>
      </c>
      <c r="C45" s="7">
        <v>92203020</v>
      </c>
      <c r="D45" s="7"/>
      <c r="E45" s="7">
        <v>0</v>
      </c>
      <c r="F45" s="7"/>
      <c r="G45" s="34"/>
      <c r="H45" s="34"/>
      <c r="I45" s="32"/>
      <c r="J45" s="34"/>
      <c r="K45" s="34" t="s">
        <v>3276</v>
      </c>
      <c r="L45" s="8" t="s">
        <v>3275</v>
      </c>
    </row>
    <row r="46" spans="1:12" x14ac:dyDescent="0.35">
      <c r="A46" s="8" t="s">
        <v>104</v>
      </c>
      <c r="B46" s="39">
        <v>100</v>
      </c>
      <c r="C46" s="7">
        <v>92203</v>
      </c>
      <c r="D46" s="7"/>
      <c r="E46" s="7"/>
      <c r="F46" s="7"/>
      <c r="G46" s="34"/>
      <c r="H46" s="34"/>
      <c r="I46" s="32"/>
      <c r="J46" s="34"/>
      <c r="K46" s="34"/>
      <c r="L46" s="8" t="s">
        <v>3432</v>
      </c>
    </row>
    <row r="47" spans="1:12" x14ac:dyDescent="0.35">
      <c r="A47" s="58" t="s">
        <v>104</v>
      </c>
      <c r="B47" s="59">
        <v>100</v>
      </c>
      <c r="C47" s="60" t="s">
        <v>3228</v>
      </c>
      <c r="D47" s="60" t="s">
        <v>3229</v>
      </c>
      <c r="E47" s="60"/>
      <c r="F47" s="60"/>
      <c r="G47" s="61"/>
      <c r="H47" s="61"/>
      <c r="I47" s="62"/>
      <c r="J47" s="61"/>
      <c r="K47" s="61"/>
      <c r="L47" s="63" t="s">
        <v>3336</v>
      </c>
    </row>
    <row r="48" spans="1:12" x14ac:dyDescent="0.35">
      <c r="A48" s="8" t="s">
        <v>104</v>
      </c>
      <c r="B48" s="26">
        <v>100</v>
      </c>
      <c r="C48" s="7">
        <v>92204001</v>
      </c>
      <c r="D48" s="7"/>
      <c r="E48" s="7"/>
      <c r="F48" s="7"/>
      <c r="G48" s="34"/>
      <c r="H48" s="34"/>
      <c r="I48" s="32"/>
      <c r="J48" s="34"/>
      <c r="K48" s="34"/>
      <c r="L48" s="8"/>
    </row>
    <row r="49" spans="1:12" x14ac:dyDescent="0.35">
      <c r="A49" s="58" t="s">
        <v>104</v>
      </c>
      <c r="B49" s="59">
        <v>100</v>
      </c>
      <c r="C49" s="60" t="s">
        <v>3230</v>
      </c>
      <c r="D49" s="60" t="s">
        <v>3231</v>
      </c>
      <c r="E49" s="60"/>
      <c r="F49" s="60"/>
      <c r="G49" s="61"/>
      <c r="H49" s="61"/>
      <c r="I49" s="62"/>
      <c r="J49" s="61"/>
      <c r="K49" s="61"/>
      <c r="L49" s="63" t="s">
        <v>3337</v>
      </c>
    </row>
    <row r="50" spans="1:12" x14ac:dyDescent="0.35">
      <c r="A50" s="8"/>
      <c r="B50" s="26">
        <v>100</v>
      </c>
      <c r="C50" s="7">
        <v>92204101</v>
      </c>
      <c r="D50" s="7"/>
      <c r="E50" s="7">
        <v>13</v>
      </c>
      <c r="F50" s="7"/>
      <c r="G50" s="34"/>
      <c r="H50" s="34"/>
      <c r="I50" s="32"/>
      <c r="J50" s="34" t="s">
        <v>3283</v>
      </c>
      <c r="K50" s="34" t="s">
        <v>3312</v>
      </c>
      <c r="L50" s="8" t="s">
        <v>3277</v>
      </c>
    </row>
    <row r="51" spans="1:12" x14ac:dyDescent="0.35">
      <c r="A51" s="8"/>
      <c r="B51" s="26">
        <v>100</v>
      </c>
      <c r="C51" s="7">
        <v>92204102</v>
      </c>
      <c r="D51" s="7"/>
      <c r="E51" s="7">
        <v>11</v>
      </c>
      <c r="F51" s="7"/>
      <c r="G51" s="34"/>
      <c r="H51" s="34"/>
      <c r="I51" s="32"/>
      <c r="J51" s="34" t="s">
        <v>3284</v>
      </c>
      <c r="K51" s="34"/>
      <c r="L51" s="8" t="s">
        <v>3278</v>
      </c>
    </row>
    <row r="52" spans="1:12" x14ac:dyDescent="0.35">
      <c r="A52" s="8"/>
      <c r="B52" s="26">
        <v>100</v>
      </c>
      <c r="C52" s="7">
        <v>92204103</v>
      </c>
      <c r="D52" s="7"/>
      <c r="E52" s="7">
        <v>13</v>
      </c>
      <c r="F52" s="7"/>
      <c r="G52" s="34"/>
      <c r="H52" s="34"/>
      <c r="I52" s="32"/>
      <c r="J52" s="34" t="s">
        <v>3283</v>
      </c>
      <c r="K52" s="34" t="s">
        <v>3312</v>
      </c>
      <c r="L52" s="8" t="s">
        <v>3279</v>
      </c>
    </row>
    <row r="53" spans="1:12" x14ac:dyDescent="0.35">
      <c r="A53" s="8"/>
      <c r="B53" s="26">
        <v>100</v>
      </c>
      <c r="C53" s="7">
        <v>92204104</v>
      </c>
      <c r="D53" s="7"/>
      <c r="E53" s="7">
        <v>11</v>
      </c>
      <c r="F53" s="7"/>
      <c r="G53" s="34"/>
      <c r="H53" s="34"/>
      <c r="I53" s="32"/>
      <c r="J53" s="34" t="s">
        <v>3284</v>
      </c>
      <c r="K53" s="34"/>
      <c r="L53" s="8" t="s">
        <v>3280</v>
      </c>
    </row>
    <row r="54" spans="1:12" x14ac:dyDescent="0.35">
      <c r="A54" s="8"/>
      <c r="B54" s="26">
        <v>100</v>
      </c>
      <c r="C54" s="7">
        <v>92204105</v>
      </c>
      <c r="D54" s="7"/>
      <c r="E54" s="7">
        <v>13</v>
      </c>
      <c r="F54" s="7"/>
      <c r="G54" s="34"/>
      <c r="H54" s="34"/>
      <c r="I54" s="32"/>
      <c r="J54" s="34" t="s">
        <v>3283</v>
      </c>
      <c r="K54" s="34" t="s">
        <v>3312</v>
      </c>
      <c r="L54" s="8" t="s">
        <v>3281</v>
      </c>
    </row>
    <row r="55" spans="1:12" x14ac:dyDescent="0.35">
      <c r="A55" s="8"/>
      <c r="B55" s="26">
        <v>100</v>
      </c>
      <c r="C55" s="7">
        <v>92204106</v>
      </c>
      <c r="D55" s="7"/>
      <c r="E55" s="7">
        <v>11</v>
      </c>
      <c r="F55" s="7"/>
      <c r="G55" s="34"/>
      <c r="H55" s="34"/>
      <c r="I55" s="32"/>
      <c r="J55" s="34" t="s">
        <v>3285</v>
      </c>
      <c r="K55" s="34"/>
      <c r="L55" s="8" t="s">
        <v>3282</v>
      </c>
    </row>
    <row r="56" spans="1:12" x14ac:dyDescent="0.35">
      <c r="A56" s="8" t="s">
        <v>104</v>
      </c>
      <c r="B56" s="26">
        <v>100</v>
      </c>
      <c r="C56" s="7">
        <v>92204107</v>
      </c>
      <c r="D56" s="7"/>
      <c r="E56" s="7"/>
      <c r="F56" s="7"/>
      <c r="G56" s="34"/>
      <c r="H56" s="34"/>
      <c r="I56" s="32"/>
      <c r="J56" s="34"/>
      <c r="K56" s="34"/>
      <c r="L56" s="8"/>
    </row>
    <row r="57" spans="1:12" x14ac:dyDescent="0.35">
      <c r="A57" s="8" t="s">
        <v>104</v>
      </c>
      <c r="B57" s="26">
        <v>100</v>
      </c>
      <c r="C57" s="7">
        <v>92204108</v>
      </c>
      <c r="D57" s="7"/>
      <c r="E57" s="7"/>
      <c r="F57" s="7"/>
      <c r="G57" s="34"/>
      <c r="H57" s="34"/>
      <c r="I57" s="32"/>
      <c r="J57" s="34"/>
      <c r="K57" s="34"/>
      <c r="L57" s="8"/>
    </row>
    <row r="58" spans="1:12" x14ac:dyDescent="0.35">
      <c r="A58" s="8" t="s">
        <v>104</v>
      </c>
      <c r="B58" s="26">
        <v>100</v>
      </c>
      <c r="C58" s="7">
        <v>92204109</v>
      </c>
      <c r="D58" s="7"/>
      <c r="E58" s="7"/>
      <c r="F58" s="7"/>
      <c r="G58" s="34"/>
      <c r="H58" s="34"/>
      <c r="I58" s="32"/>
      <c r="J58" s="34"/>
      <c r="K58" s="34"/>
      <c r="L58" s="8"/>
    </row>
    <row r="59" spans="1:12" x14ac:dyDescent="0.35">
      <c r="A59" s="8" t="s">
        <v>104</v>
      </c>
      <c r="B59" s="26">
        <v>100</v>
      </c>
      <c r="C59" s="7">
        <v>92204110</v>
      </c>
      <c r="D59" s="7"/>
      <c r="E59" s="7"/>
      <c r="F59" s="7"/>
      <c r="G59" s="34"/>
      <c r="H59" s="34"/>
      <c r="I59" s="32"/>
      <c r="J59" s="34"/>
      <c r="K59" s="34"/>
      <c r="L59" s="8"/>
    </row>
    <row r="60" spans="1:12" x14ac:dyDescent="0.35">
      <c r="A60" s="58" t="s">
        <v>104</v>
      </c>
      <c r="B60" s="59">
        <v>100</v>
      </c>
      <c r="C60" s="60" t="s">
        <v>3232</v>
      </c>
      <c r="D60" s="60" t="s">
        <v>3233</v>
      </c>
      <c r="E60" s="60"/>
      <c r="F60" s="60"/>
      <c r="G60" s="61"/>
      <c r="H60" s="61"/>
      <c r="I60" s="62"/>
      <c r="J60" s="61"/>
      <c r="K60" s="61"/>
      <c r="L60" s="63" t="s">
        <v>3338</v>
      </c>
    </row>
    <row r="61" spans="1:12" x14ac:dyDescent="0.35">
      <c r="A61" s="8"/>
      <c r="B61" s="26">
        <v>100</v>
      </c>
      <c r="C61" s="7">
        <v>92204201</v>
      </c>
      <c r="D61" s="7" t="s">
        <v>3291</v>
      </c>
      <c r="E61" s="7">
        <v>21</v>
      </c>
      <c r="F61" s="7"/>
      <c r="G61" s="34"/>
      <c r="H61" s="34"/>
      <c r="I61" s="32"/>
      <c r="J61" s="34" t="s">
        <v>3289</v>
      </c>
      <c r="K61" s="34" t="s">
        <v>3290</v>
      </c>
      <c r="L61" s="8" t="s">
        <v>3301</v>
      </c>
    </row>
    <row r="62" spans="1:12" x14ac:dyDescent="0.35">
      <c r="A62" s="8"/>
      <c r="B62" s="26">
        <v>100</v>
      </c>
      <c r="C62" s="7">
        <v>92204202</v>
      </c>
      <c r="D62" s="7" t="s">
        <v>3291</v>
      </c>
      <c r="E62" s="7">
        <v>21</v>
      </c>
      <c r="F62" s="7"/>
      <c r="G62" s="34"/>
      <c r="H62" s="34"/>
      <c r="I62" s="32"/>
      <c r="J62" s="34" t="s">
        <v>3289</v>
      </c>
      <c r="K62" s="34" t="s">
        <v>3290</v>
      </c>
      <c r="L62" s="8" t="s">
        <v>3302</v>
      </c>
    </row>
    <row r="63" spans="1:12" x14ac:dyDescent="0.35">
      <c r="A63" s="8"/>
      <c r="B63" s="26">
        <v>100</v>
      </c>
      <c r="C63" s="7">
        <v>92204203</v>
      </c>
      <c r="D63" s="7" t="s">
        <v>3291</v>
      </c>
      <c r="E63" s="7">
        <v>13</v>
      </c>
      <c r="F63" s="7"/>
      <c r="G63" s="34"/>
      <c r="H63" s="34"/>
      <c r="I63" s="32"/>
      <c r="J63" s="34" t="s">
        <v>3289</v>
      </c>
      <c r="K63" s="34" t="s">
        <v>3290</v>
      </c>
      <c r="L63" s="8" t="s">
        <v>3299</v>
      </c>
    </row>
    <row r="64" spans="1:12" x14ac:dyDescent="0.35">
      <c r="A64" s="8"/>
      <c r="B64" s="26">
        <v>100</v>
      </c>
      <c r="C64" s="7">
        <v>92204204</v>
      </c>
      <c r="D64" s="7" t="s">
        <v>3291</v>
      </c>
      <c r="E64" s="7">
        <v>13</v>
      </c>
      <c r="F64" s="7"/>
      <c r="G64" s="34"/>
      <c r="H64" s="34"/>
      <c r="I64" s="32"/>
      <c r="J64" s="34" t="s">
        <v>3289</v>
      </c>
      <c r="K64" s="34" t="s">
        <v>3290</v>
      </c>
      <c r="L64" s="8" t="s">
        <v>3300</v>
      </c>
    </row>
    <row r="65" spans="1:12" x14ac:dyDescent="0.35">
      <c r="A65" s="8"/>
      <c r="B65" s="26">
        <v>100</v>
      </c>
      <c r="C65" s="7">
        <v>92204205</v>
      </c>
      <c r="D65" s="7" t="s">
        <v>3291</v>
      </c>
      <c r="E65" s="7">
        <v>0</v>
      </c>
      <c r="F65" s="7"/>
      <c r="G65" s="34"/>
      <c r="H65" s="34"/>
      <c r="I65" s="32"/>
      <c r="J65" s="34" t="s">
        <v>3289</v>
      </c>
      <c r="K65" s="34" t="s">
        <v>3290</v>
      </c>
      <c r="L65" s="8" t="s">
        <v>3298</v>
      </c>
    </row>
    <row r="66" spans="1:12" x14ac:dyDescent="0.35">
      <c r="A66" s="8"/>
      <c r="B66" s="26">
        <v>100</v>
      </c>
      <c r="C66" s="7">
        <v>92204206</v>
      </c>
      <c r="D66" s="7" t="s">
        <v>3291</v>
      </c>
      <c r="E66" s="7">
        <v>13</v>
      </c>
      <c r="F66" s="7"/>
      <c r="G66" s="34"/>
      <c r="H66" s="34"/>
      <c r="I66" s="32"/>
      <c r="J66" s="34" t="s">
        <v>3293</v>
      </c>
      <c r="K66" s="34" t="s">
        <v>3313</v>
      </c>
      <c r="L66" s="8" t="s">
        <v>3286</v>
      </c>
    </row>
    <row r="67" spans="1:12" x14ac:dyDescent="0.35">
      <c r="A67" s="8"/>
      <c r="B67" s="26">
        <v>100</v>
      </c>
      <c r="C67" s="7">
        <v>92204207</v>
      </c>
      <c r="D67" s="7" t="s">
        <v>3291</v>
      </c>
      <c r="E67" s="7">
        <v>13</v>
      </c>
      <c r="F67" s="7"/>
      <c r="G67" s="34"/>
      <c r="H67" s="34"/>
      <c r="I67" s="32"/>
      <c r="J67" s="34" t="s">
        <v>3293</v>
      </c>
      <c r="K67" s="34" t="s">
        <v>3314</v>
      </c>
      <c r="L67" s="8" t="s">
        <v>3292</v>
      </c>
    </row>
    <row r="68" spans="1:12" x14ac:dyDescent="0.35">
      <c r="A68" s="8"/>
      <c r="B68" s="26">
        <v>100</v>
      </c>
      <c r="C68" s="7">
        <v>92204208</v>
      </c>
      <c r="D68" s="7" t="s">
        <v>3291</v>
      </c>
      <c r="E68" s="7">
        <v>13</v>
      </c>
      <c r="F68" s="7"/>
      <c r="G68" s="34"/>
      <c r="H68" s="34"/>
      <c r="I68" s="32"/>
      <c r="J68" s="34" t="s">
        <v>3293</v>
      </c>
      <c r="K68" s="34" t="s">
        <v>3315</v>
      </c>
      <c r="L68" s="8" t="s">
        <v>3297</v>
      </c>
    </row>
    <row r="69" spans="1:12" x14ac:dyDescent="0.35">
      <c r="A69" s="8"/>
      <c r="B69" s="26">
        <v>100</v>
      </c>
      <c r="C69" s="7">
        <v>92204209</v>
      </c>
      <c r="D69" s="7" t="s">
        <v>3291</v>
      </c>
      <c r="E69" s="7">
        <v>13</v>
      </c>
      <c r="F69" s="7"/>
      <c r="G69" s="34"/>
      <c r="H69" s="34"/>
      <c r="I69" s="32"/>
      <c r="J69" s="34" t="s">
        <v>3293</v>
      </c>
      <c r="K69" s="34" t="s">
        <v>3316</v>
      </c>
      <c r="L69" s="8" t="s">
        <v>3287</v>
      </c>
    </row>
    <row r="70" spans="1:12" x14ac:dyDescent="0.35">
      <c r="A70" s="8"/>
      <c r="B70" s="26">
        <v>100</v>
      </c>
      <c r="C70" s="7">
        <v>92204210</v>
      </c>
      <c r="D70" s="7" t="s">
        <v>3291</v>
      </c>
      <c r="E70" s="7">
        <v>13</v>
      </c>
      <c r="F70" s="7"/>
      <c r="G70" s="34"/>
      <c r="H70" s="34"/>
      <c r="I70" s="32"/>
      <c r="J70" s="34" t="s">
        <v>3293</v>
      </c>
      <c r="K70" s="34" t="s">
        <v>3317</v>
      </c>
      <c r="L70" s="8" t="s">
        <v>3288</v>
      </c>
    </row>
    <row r="71" spans="1:12" x14ac:dyDescent="0.35">
      <c r="A71" s="8"/>
      <c r="B71" s="26">
        <v>100</v>
      </c>
      <c r="C71" s="7"/>
      <c r="D71" s="7"/>
      <c r="E71" s="7"/>
      <c r="F71" s="7"/>
      <c r="G71" s="34"/>
      <c r="H71" s="34"/>
      <c r="I71" s="32"/>
      <c r="J71" s="34"/>
      <c r="K71" s="34"/>
      <c r="L71" s="8"/>
    </row>
    <row r="72" spans="1:12" x14ac:dyDescent="0.35">
      <c r="A72" s="8"/>
      <c r="B72" s="26">
        <v>100</v>
      </c>
      <c r="C72" s="7"/>
      <c r="D72" s="7"/>
      <c r="E72" s="7"/>
      <c r="F72" s="7"/>
      <c r="G72" s="34"/>
      <c r="H72" s="34"/>
      <c r="I72" s="32"/>
      <c r="J72" s="34"/>
      <c r="K72" s="34"/>
      <c r="L72" s="8"/>
    </row>
    <row r="73" spans="1:12" x14ac:dyDescent="0.35">
      <c r="A73" s="8"/>
      <c r="B73" s="26">
        <v>100</v>
      </c>
      <c r="C73" s="7"/>
      <c r="D73" s="7"/>
      <c r="E73" s="7"/>
      <c r="F73" s="7"/>
      <c r="G73" s="34"/>
      <c r="H73" s="34"/>
      <c r="I73" s="32"/>
      <c r="J73" s="34"/>
      <c r="K73" s="34"/>
      <c r="L73" s="8"/>
    </row>
    <row r="74" spans="1:12" x14ac:dyDescent="0.35">
      <c r="A74" s="8"/>
      <c r="B74" s="26">
        <v>100</v>
      </c>
      <c r="C74" s="7"/>
      <c r="D74" s="7"/>
      <c r="E74" s="7"/>
      <c r="F74" s="7"/>
      <c r="G74" s="34"/>
      <c r="H74" s="34"/>
      <c r="I74" s="32"/>
      <c r="J74" s="34"/>
      <c r="K74" s="34"/>
      <c r="L74" s="8"/>
    </row>
    <row r="75" spans="1:12" x14ac:dyDescent="0.35">
      <c r="A75" s="8"/>
      <c r="B75" s="26">
        <v>100</v>
      </c>
      <c r="C75" s="7"/>
      <c r="D75" s="7"/>
      <c r="E75" s="7"/>
      <c r="F75" s="7"/>
      <c r="G75" s="34"/>
      <c r="H75" s="34"/>
      <c r="I75" s="32"/>
      <c r="J75" s="34"/>
      <c r="K75" s="34"/>
      <c r="L75" s="8"/>
    </row>
    <row r="76" spans="1:12" x14ac:dyDescent="0.35">
      <c r="A76" s="8"/>
      <c r="B76" s="26">
        <v>100</v>
      </c>
      <c r="C76" s="7"/>
      <c r="D76" s="7"/>
      <c r="E76" s="7"/>
      <c r="F76" s="7"/>
      <c r="G76" s="34"/>
      <c r="H76" s="34"/>
      <c r="I76" s="32"/>
      <c r="J76" s="34"/>
      <c r="K76" s="34"/>
      <c r="L76" s="8"/>
    </row>
    <row r="77" spans="1:12" x14ac:dyDescent="0.35">
      <c r="A77" s="8"/>
      <c r="B77" s="26">
        <v>100</v>
      </c>
      <c r="C77" s="7"/>
      <c r="D77" s="7"/>
      <c r="E77" s="7"/>
      <c r="F77" s="7"/>
      <c r="G77" s="34"/>
      <c r="H77" s="34"/>
      <c r="I77" s="32"/>
      <c r="J77" s="34"/>
      <c r="K77" s="34"/>
      <c r="L77" s="8"/>
    </row>
    <row r="78" spans="1:12" x14ac:dyDescent="0.35">
      <c r="A78" s="8"/>
      <c r="B78" s="26">
        <v>100</v>
      </c>
      <c r="C78" s="7"/>
      <c r="D78" s="7"/>
      <c r="E78" s="7"/>
      <c r="F78" s="7"/>
      <c r="G78" s="34"/>
      <c r="H78" s="34"/>
      <c r="I78" s="32"/>
      <c r="J78" s="34"/>
      <c r="K78" s="34"/>
      <c r="L78" s="8"/>
    </row>
    <row r="79" spans="1:12" x14ac:dyDescent="0.35">
      <c r="A79" s="8"/>
      <c r="B79" s="26">
        <v>100</v>
      </c>
      <c r="C79" s="7"/>
      <c r="D79" s="7"/>
      <c r="E79" s="7"/>
      <c r="F79" s="7"/>
      <c r="G79" s="34"/>
      <c r="H79" s="34"/>
      <c r="I79" s="32"/>
      <c r="J79" s="34"/>
      <c r="K79" s="34"/>
      <c r="L79" s="8"/>
    </row>
    <row r="80" spans="1:12" x14ac:dyDescent="0.35">
      <c r="A80" s="8"/>
      <c r="B80" s="26">
        <v>100</v>
      </c>
      <c r="C80" s="7"/>
      <c r="D80" s="7"/>
      <c r="E80" s="7"/>
      <c r="F80" s="7"/>
      <c r="G80" s="34"/>
      <c r="H80" s="34"/>
      <c r="I80" s="32"/>
      <c r="J80" s="34"/>
      <c r="K80" s="34"/>
      <c r="L80" s="8"/>
    </row>
    <row r="81" spans="1:12" x14ac:dyDescent="0.35">
      <c r="A81" s="8"/>
      <c r="B81" s="26">
        <v>100</v>
      </c>
      <c r="C81" s="7"/>
      <c r="D81" s="7"/>
      <c r="E81" s="7"/>
      <c r="F81" s="7"/>
      <c r="G81" s="34"/>
      <c r="H81" s="34"/>
      <c r="I81" s="32"/>
      <c r="J81" s="34"/>
      <c r="K81" s="34"/>
      <c r="L81" s="8"/>
    </row>
    <row r="82" spans="1:12" x14ac:dyDescent="0.35">
      <c r="A82" s="8"/>
      <c r="B82" s="26">
        <v>100</v>
      </c>
      <c r="C82" s="7"/>
      <c r="D82" s="7"/>
      <c r="E82" s="7"/>
      <c r="F82" s="7"/>
      <c r="G82" s="34"/>
      <c r="H82" s="34"/>
      <c r="I82" s="32"/>
      <c r="J82" s="34"/>
      <c r="K82" s="34"/>
      <c r="L82" s="8"/>
    </row>
    <row r="83" spans="1:12" x14ac:dyDescent="0.35">
      <c r="A83" s="8"/>
      <c r="B83" s="26">
        <v>100</v>
      </c>
      <c r="C83" s="7"/>
      <c r="D83" s="7"/>
      <c r="E83" s="7"/>
      <c r="F83" s="7"/>
      <c r="G83" s="34"/>
      <c r="H83" s="34"/>
      <c r="I83" s="32"/>
      <c r="J83" s="34"/>
      <c r="K83" s="34"/>
      <c r="L83" s="8"/>
    </row>
    <row r="84" spans="1:12" x14ac:dyDescent="0.35">
      <c r="A84" s="8"/>
      <c r="B84" s="26">
        <v>100</v>
      </c>
      <c r="C84" s="7"/>
      <c r="D84" s="7"/>
      <c r="E84" s="7"/>
      <c r="F84" s="7"/>
      <c r="G84" s="34"/>
      <c r="H84" s="34"/>
      <c r="I84" s="32"/>
      <c r="J84" s="34"/>
      <c r="K84" s="34"/>
      <c r="L84" s="8"/>
    </row>
    <row r="85" spans="1:12" x14ac:dyDescent="0.35">
      <c r="A85" s="8"/>
      <c r="B85" s="26">
        <v>100</v>
      </c>
      <c r="C85" s="7"/>
      <c r="D85" s="7"/>
      <c r="E85" s="7"/>
      <c r="F85" s="7"/>
      <c r="G85" s="34"/>
      <c r="H85" s="34"/>
      <c r="I85" s="32"/>
      <c r="J85" s="34"/>
      <c r="K85" s="34"/>
      <c r="L85" s="8"/>
    </row>
    <row r="86" spans="1:12" x14ac:dyDescent="0.35">
      <c r="A86" s="8"/>
      <c r="B86" s="26">
        <v>100</v>
      </c>
      <c r="C86" s="7"/>
      <c r="D86" s="7"/>
      <c r="E86" s="7"/>
      <c r="F86" s="7"/>
      <c r="G86" s="34"/>
      <c r="H86" s="34"/>
      <c r="I86" s="32"/>
      <c r="J86" s="34"/>
      <c r="K86" s="34"/>
      <c r="L86" s="8"/>
    </row>
    <row r="87" spans="1:12" x14ac:dyDescent="0.35">
      <c r="A87" s="8"/>
      <c r="B87" s="26">
        <v>100</v>
      </c>
      <c r="C87" s="7"/>
      <c r="D87" s="7"/>
      <c r="E87" s="7"/>
      <c r="F87" s="7"/>
      <c r="G87" s="34"/>
      <c r="H87" s="34"/>
      <c r="I87" s="32"/>
      <c r="J87" s="34"/>
      <c r="K87" s="34"/>
      <c r="L87" s="8"/>
    </row>
    <row r="88" spans="1:12" x14ac:dyDescent="0.35">
      <c r="A88" s="8"/>
      <c r="B88" s="26">
        <v>100</v>
      </c>
      <c r="C88" s="7"/>
      <c r="D88" s="7"/>
      <c r="E88" s="7"/>
      <c r="F88" s="7"/>
      <c r="G88" s="34"/>
      <c r="H88" s="34"/>
      <c r="I88" s="32"/>
      <c r="J88" s="34"/>
      <c r="K88" s="34"/>
      <c r="L88" s="8"/>
    </row>
    <row r="89" spans="1:12" x14ac:dyDescent="0.35">
      <c r="A89" s="8"/>
      <c r="B89" s="26">
        <v>100</v>
      </c>
      <c r="C89" s="7"/>
      <c r="D89" s="7"/>
      <c r="E89" s="7"/>
      <c r="F89" s="7"/>
      <c r="G89" s="34"/>
      <c r="H89" s="34"/>
      <c r="I89" s="32"/>
      <c r="J89" s="34"/>
      <c r="K89" s="34"/>
      <c r="L89" s="8"/>
    </row>
    <row r="90" spans="1:12" x14ac:dyDescent="0.35">
      <c r="A90" s="8"/>
      <c r="B90" s="26">
        <v>100</v>
      </c>
      <c r="C90" s="7"/>
      <c r="D90" s="7"/>
      <c r="E90" s="7"/>
      <c r="F90" s="7"/>
      <c r="G90" s="34"/>
      <c r="H90" s="34"/>
      <c r="I90" s="32"/>
      <c r="J90" s="34"/>
      <c r="K90" s="34"/>
      <c r="L90" s="8"/>
    </row>
    <row r="91" spans="1:12" x14ac:dyDescent="0.35">
      <c r="A91" s="8"/>
      <c r="B91" s="26">
        <v>100</v>
      </c>
      <c r="C91" s="7"/>
      <c r="D91" s="7"/>
      <c r="E91" s="7"/>
      <c r="F91" s="7"/>
      <c r="G91" s="34"/>
      <c r="H91" s="34"/>
      <c r="I91" s="32"/>
      <c r="J91" s="34"/>
      <c r="K91" s="34"/>
      <c r="L91" s="8"/>
    </row>
    <row r="92" spans="1:12" x14ac:dyDescent="0.35">
      <c r="A92" s="8"/>
      <c r="B92" s="26">
        <v>100</v>
      </c>
      <c r="C92" s="7"/>
      <c r="D92" s="7"/>
      <c r="E92" s="7"/>
      <c r="F92" s="7"/>
      <c r="G92" s="34"/>
      <c r="H92" s="34"/>
      <c r="I92" s="32"/>
      <c r="J92" s="34"/>
      <c r="K92" s="34"/>
      <c r="L92" s="8"/>
    </row>
    <row r="93" spans="1:12" x14ac:dyDescent="0.35">
      <c r="A93" s="8"/>
      <c r="B93" s="26">
        <v>100</v>
      </c>
      <c r="C93" s="7"/>
      <c r="D93" s="7"/>
      <c r="E93" s="7"/>
      <c r="F93" s="7"/>
      <c r="G93" s="34"/>
      <c r="H93" s="34"/>
      <c r="I93" s="32"/>
      <c r="J93" s="34"/>
      <c r="K93" s="34"/>
      <c r="L93" s="8"/>
    </row>
    <row r="94" spans="1:12" x14ac:dyDescent="0.35">
      <c r="A94" s="8"/>
      <c r="B94" s="26">
        <v>100</v>
      </c>
      <c r="C94" s="7"/>
      <c r="D94" s="7"/>
      <c r="E94" s="7"/>
      <c r="F94" s="7"/>
      <c r="G94" s="34"/>
      <c r="H94" s="34"/>
      <c r="I94" s="32"/>
      <c r="J94" s="34"/>
      <c r="K94" s="34"/>
      <c r="L94" s="8"/>
    </row>
    <row r="95" spans="1:12" x14ac:dyDescent="0.35">
      <c r="A95" s="8"/>
      <c r="B95" s="26">
        <v>100</v>
      </c>
      <c r="C95" s="7"/>
      <c r="D95" s="7"/>
      <c r="E95" s="7"/>
      <c r="F95" s="7"/>
      <c r="G95" s="34"/>
      <c r="H95" s="34"/>
      <c r="I95" s="32"/>
      <c r="J95" s="34"/>
      <c r="K95" s="34"/>
      <c r="L95" s="8"/>
    </row>
    <row r="96" spans="1:12" x14ac:dyDescent="0.35">
      <c r="A96" s="8"/>
      <c r="B96" s="26">
        <v>100</v>
      </c>
      <c r="C96" s="7"/>
      <c r="D96" s="7"/>
      <c r="E96" s="7"/>
      <c r="F96" s="7"/>
      <c r="G96" s="34"/>
      <c r="H96" s="34"/>
      <c r="I96" s="32"/>
      <c r="J96" s="34"/>
      <c r="K96" s="34"/>
      <c r="L96" s="8"/>
    </row>
    <row r="97" spans="1:12" x14ac:dyDescent="0.35">
      <c r="A97" s="8"/>
      <c r="B97" s="26">
        <v>100</v>
      </c>
      <c r="C97" s="7"/>
      <c r="D97" s="7"/>
      <c r="E97" s="7"/>
      <c r="F97" s="7"/>
      <c r="G97" s="34"/>
      <c r="H97" s="34"/>
      <c r="I97" s="32"/>
      <c r="J97" s="34"/>
      <c r="K97" s="34"/>
      <c r="L97" s="8"/>
    </row>
    <row r="98" spans="1:12" x14ac:dyDescent="0.35">
      <c r="A98" s="8"/>
      <c r="B98" s="26">
        <v>100</v>
      </c>
      <c r="C98" s="7"/>
      <c r="D98" s="7"/>
      <c r="E98" s="7"/>
      <c r="F98" s="7"/>
      <c r="G98" s="34"/>
      <c r="H98" s="34"/>
      <c r="I98" s="32"/>
      <c r="J98" s="34"/>
      <c r="K98" s="34"/>
      <c r="L98" s="8"/>
    </row>
    <row r="99" spans="1:12" x14ac:dyDescent="0.35">
      <c r="A99" s="8"/>
      <c r="B99" s="26">
        <v>100</v>
      </c>
      <c r="C99" s="7"/>
      <c r="D99" s="7"/>
      <c r="E99" s="7"/>
      <c r="F99" s="7"/>
      <c r="G99" s="34"/>
      <c r="H99" s="34"/>
      <c r="I99" s="32"/>
      <c r="J99" s="34"/>
      <c r="K99" s="34"/>
      <c r="L99" s="8"/>
    </row>
    <row r="100" spans="1:12" x14ac:dyDescent="0.35">
      <c r="A100" s="8"/>
      <c r="B100" s="26">
        <v>100</v>
      </c>
      <c r="C100" s="7"/>
      <c r="D100" s="7"/>
      <c r="E100" s="7"/>
      <c r="F100" s="7"/>
      <c r="G100" s="34"/>
      <c r="H100" s="34"/>
      <c r="I100" s="32"/>
      <c r="J100" s="34"/>
      <c r="K100" s="34"/>
      <c r="L10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19EBB-75AC-4449-B5D9-E6F36C0A861D}">
  <sheetPr codeName="Sheet10">
    <tabColor rgb="FFC00000"/>
  </sheetPr>
  <dimension ref="A1:G506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3" width="15.625" style="10" customWidth="1"/>
    <col min="4" max="6" width="20.625" style="10" customWidth="1"/>
    <col min="7" max="7" width="50.625" style="10" customWidth="1"/>
    <col min="8" max="16384" width="10.625" style="10"/>
  </cols>
  <sheetData>
    <row r="1" spans="1:7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40</v>
      </c>
      <c r="F1" s="5" t="s">
        <v>40</v>
      </c>
      <c r="G1" s="6" t="s">
        <v>74</v>
      </c>
    </row>
    <row r="2" spans="1:7" x14ac:dyDescent="0.35">
      <c r="A2" s="12" t="s">
        <v>6</v>
      </c>
      <c r="B2" s="1" t="s">
        <v>30</v>
      </c>
      <c r="C2" s="2" t="s">
        <v>33</v>
      </c>
      <c r="D2" s="2" t="s">
        <v>247</v>
      </c>
      <c r="E2" s="2" t="s">
        <v>248</v>
      </c>
      <c r="F2" s="2" t="s">
        <v>249</v>
      </c>
      <c r="G2" s="3" t="s">
        <v>74</v>
      </c>
    </row>
    <row r="3" spans="1:7" x14ac:dyDescent="0.35">
      <c r="A3" s="24" t="s">
        <v>9</v>
      </c>
      <c r="B3" s="25" t="s">
        <v>31</v>
      </c>
      <c r="C3" s="26" t="s">
        <v>250</v>
      </c>
      <c r="D3" s="26" t="s">
        <v>251</v>
      </c>
      <c r="E3" s="26" t="s">
        <v>252</v>
      </c>
      <c r="F3" s="26" t="s">
        <v>253</v>
      </c>
      <c r="G3" s="25" t="s">
        <v>80</v>
      </c>
    </row>
    <row r="4" spans="1:7" x14ac:dyDescent="0.35">
      <c r="A4" s="27" t="s">
        <v>104</v>
      </c>
      <c r="B4" s="27"/>
      <c r="C4" s="27" t="s">
        <v>254</v>
      </c>
      <c r="D4" s="30" t="s">
        <v>251</v>
      </c>
      <c r="E4" s="30" t="s">
        <v>252</v>
      </c>
      <c r="F4" s="30" t="s">
        <v>253</v>
      </c>
      <c r="G4" s="27" t="s">
        <v>128</v>
      </c>
    </row>
    <row r="5" spans="1:7" x14ac:dyDescent="0.35">
      <c r="A5" s="28"/>
      <c r="B5" s="26">
        <v>100</v>
      </c>
      <c r="C5" s="26">
        <f>IF(表5_710111213141516[[#This Row],[姓]]=表5_710111213141516[[#This Row],[男名]]=表5_710111213141516[[#This Row],[女名]]="","",10000000+ROW()-4)</f>
        <v>10000001</v>
      </c>
      <c r="D5" s="31" t="s">
        <v>422</v>
      </c>
      <c r="E5" s="31" t="s">
        <v>924</v>
      </c>
      <c r="F5" s="31" t="s">
        <v>942</v>
      </c>
      <c r="G5" s="28"/>
    </row>
    <row r="6" spans="1:7" x14ac:dyDescent="0.35">
      <c r="A6" s="28"/>
      <c r="B6" s="26">
        <v>100</v>
      </c>
      <c r="C6" s="26">
        <f>IF(表5_710111213141516[[#This Row],[姓]]=表5_710111213141516[[#This Row],[男名]]=表5_710111213141516[[#This Row],[女名]]="","",10000000+ROW()-4)</f>
        <v>10000002</v>
      </c>
      <c r="D6" s="31" t="s">
        <v>423</v>
      </c>
      <c r="E6" s="32" t="s">
        <v>932</v>
      </c>
      <c r="F6" s="31" t="s">
        <v>943</v>
      </c>
      <c r="G6" s="28"/>
    </row>
    <row r="7" spans="1:7" x14ac:dyDescent="0.35">
      <c r="A7" s="28"/>
      <c r="B7" s="26">
        <v>100</v>
      </c>
      <c r="C7" s="26">
        <f>IF(表5_710111213141516[[#This Row],[姓]]=表5_710111213141516[[#This Row],[男名]]=表5_710111213141516[[#This Row],[女名]]="","",10000000+ROW()-4)</f>
        <v>10000003</v>
      </c>
      <c r="D7" s="31" t="s">
        <v>424</v>
      </c>
      <c r="E7" s="37" t="s">
        <v>926</v>
      </c>
      <c r="F7" s="31" t="s">
        <v>945</v>
      </c>
      <c r="G7" s="28"/>
    </row>
    <row r="8" spans="1:7" x14ac:dyDescent="0.35">
      <c r="A8" s="28"/>
      <c r="B8" s="26">
        <v>100</v>
      </c>
      <c r="C8" s="26">
        <f>IF(表5_710111213141516[[#This Row],[姓]]=表5_710111213141516[[#This Row],[男名]]=表5_710111213141516[[#This Row],[女名]]="","",10000000+ROW()-4)</f>
        <v>10000004</v>
      </c>
      <c r="D8" s="31" t="s">
        <v>425</v>
      </c>
      <c r="E8" s="32" t="s">
        <v>925</v>
      </c>
      <c r="F8" s="31" t="s">
        <v>944</v>
      </c>
      <c r="G8" s="28"/>
    </row>
    <row r="9" spans="1:7" x14ac:dyDescent="0.35">
      <c r="A9" s="28"/>
      <c r="B9" s="26">
        <v>100</v>
      </c>
      <c r="C9" s="26">
        <f>IF(表5_710111213141516[[#This Row],[姓]]=表5_710111213141516[[#This Row],[男名]]=表5_710111213141516[[#This Row],[女名]]="","",10000000+ROW()-4)</f>
        <v>10000005</v>
      </c>
      <c r="D9" s="31" t="s">
        <v>426</v>
      </c>
      <c r="E9" s="32" t="s">
        <v>933</v>
      </c>
      <c r="F9" s="31" t="s">
        <v>946</v>
      </c>
      <c r="G9" s="28"/>
    </row>
    <row r="10" spans="1:7" x14ac:dyDescent="0.35">
      <c r="A10" s="28"/>
      <c r="B10" s="26">
        <v>100</v>
      </c>
      <c r="C10" s="26">
        <f>IF(表5_710111213141516[[#This Row],[姓]]=表5_710111213141516[[#This Row],[男名]]=表5_710111213141516[[#This Row],[女名]]="","",10000000+ROW()-4)</f>
        <v>10000006</v>
      </c>
      <c r="D10" s="31" t="s">
        <v>427</v>
      </c>
      <c r="E10" s="31" t="s">
        <v>927</v>
      </c>
      <c r="F10" s="31" t="s">
        <v>947</v>
      </c>
      <c r="G10" s="28"/>
    </row>
    <row r="11" spans="1:7" x14ac:dyDescent="0.35">
      <c r="A11" s="8"/>
      <c r="B11" s="26">
        <v>100</v>
      </c>
      <c r="C11" s="26">
        <f>IF(表5_710111213141516[[#This Row],[姓]]=表5_710111213141516[[#This Row],[男名]]=表5_710111213141516[[#This Row],[女名]]="","",10000000+ROW()-4)</f>
        <v>10000007</v>
      </c>
      <c r="D11" s="32" t="s">
        <v>428</v>
      </c>
      <c r="E11" s="31" t="s">
        <v>928</v>
      </c>
      <c r="F11" s="32" t="s">
        <v>948</v>
      </c>
      <c r="G11" s="8"/>
    </row>
    <row r="12" spans="1:7" x14ac:dyDescent="0.35">
      <c r="A12" s="8"/>
      <c r="B12" s="26">
        <v>100</v>
      </c>
      <c r="C12" s="26">
        <f>IF(表5_710111213141516[[#This Row],[姓]]=表5_710111213141516[[#This Row],[男名]]=表5_710111213141516[[#This Row],[女名]]="","",10000000+ROW()-4)</f>
        <v>10000008</v>
      </c>
      <c r="D12" s="32" t="s">
        <v>429</v>
      </c>
      <c r="E12" s="31" t="s">
        <v>929</v>
      </c>
      <c r="F12" s="32" t="s">
        <v>949</v>
      </c>
      <c r="G12" s="8"/>
    </row>
    <row r="13" spans="1:7" x14ac:dyDescent="0.35">
      <c r="A13" s="8"/>
      <c r="B13" s="26">
        <v>100</v>
      </c>
      <c r="C13" s="26">
        <f>IF(表5_710111213141516[[#This Row],[姓]]=表5_710111213141516[[#This Row],[男名]]=表5_710111213141516[[#This Row],[女名]]="","",10000000+ROW()-4)</f>
        <v>10000009</v>
      </c>
      <c r="D13" s="32" t="s">
        <v>430</v>
      </c>
      <c r="E13" s="32" t="s">
        <v>930</v>
      </c>
      <c r="F13" s="32" t="s">
        <v>950</v>
      </c>
      <c r="G13" s="8"/>
    </row>
    <row r="14" spans="1:7" x14ac:dyDescent="0.35">
      <c r="A14" s="8"/>
      <c r="B14" s="26">
        <v>100</v>
      </c>
      <c r="C14" s="26">
        <f>IF(表5_710111213141516[[#This Row],[姓]]=表5_710111213141516[[#This Row],[男名]]=表5_710111213141516[[#This Row],[女名]]="","",10000000+ROW()-4)</f>
        <v>10000010</v>
      </c>
      <c r="D14" s="32" t="s">
        <v>431</v>
      </c>
      <c r="E14" s="32" t="s">
        <v>931</v>
      </c>
      <c r="F14" s="32" t="s">
        <v>951</v>
      </c>
      <c r="G14" s="8"/>
    </row>
    <row r="15" spans="1:7" x14ac:dyDescent="0.35">
      <c r="A15" s="8"/>
      <c r="B15" s="26">
        <v>100</v>
      </c>
      <c r="C15" s="26">
        <f>IF(表5_710111213141516[[#This Row],[姓]]=表5_710111213141516[[#This Row],[男名]]=表5_710111213141516[[#This Row],[女名]]="","",10000000+ROW()-4)</f>
        <v>10000011</v>
      </c>
      <c r="D15" s="32" t="s">
        <v>432</v>
      </c>
      <c r="E15" s="32" t="s">
        <v>934</v>
      </c>
      <c r="F15" s="32" t="s">
        <v>952</v>
      </c>
      <c r="G15" s="8"/>
    </row>
    <row r="16" spans="1:7" x14ac:dyDescent="0.35">
      <c r="A16" s="8"/>
      <c r="B16" s="26">
        <v>100</v>
      </c>
      <c r="C16" s="26">
        <f>IF(表5_710111213141516[[#This Row],[姓]]=表5_710111213141516[[#This Row],[男名]]=表5_710111213141516[[#This Row],[女名]]="","",10000000+ROW()-4)</f>
        <v>10000012</v>
      </c>
      <c r="D16" s="32" t="s">
        <v>433</v>
      </c>
      <c r="E16" s="32" t="s">
        <v>935</v>
      </c>
      <c r="F16" s="32" t="s">
        <v>953</v>
      </c>
      <c r="G16" s="8"/>
    </row>
    <row r="17" spans="1:7" x14ac:dyDescent="0.35">
      <c r="A17" s="8"/>
      <c r="B17" s="26">
        <v>100</v>
      </c>
      <c r="C17" s="26">
        <f>IF(表5_710111213141516[[#This Row],[姓]]=表5_710111213141516[[#This Row],[男名]]=表5_710111213141516[[#This Row],[女名]]="","",10000000+ROW()-4)</f>
        <v>10000013</v>
      </c>
      <c r="D17" s="32" t="s">
        <v>434</v>
      </c>
      <c r="E17" s="32" t="s">
        <v>936</v>
      </c>
      <c r="F17" s="32" t="s">
        <v>954</v>
      </c>
      <c r="G17" s="8"/>
    </row>
    <row r="18" spans="1:7" x14ac:dyDescent="0.35">
      <c r="A18" s="8"/>
      <c r="B18" s="26">
        <v>100</v>
      </c>
      <c r="C18" s="26">
        <f>IF(表5_710111213141516[[#This Row],[姓]]=表5_710111213141516[[#This Row],[男名]]=表5_710111213141516[[#This Row],[女名]]="","",10000000+ROW()-4)</f>
        <v>10000014</v>
      </c>
      <c r="D18" s="32" t="s">
        <v>435</v>
      </c>
      <c r="E18" s="32" t="s">
        <v>937</v>
      </c>
      <c r="F18" s="32" t="s">
        <v>955</v>
      </c>
      <c r="G18" s="8"/>
    </row>
    <row r="19" spans="1:7" x14ac:dyDescent="0.35">
      <c r="A19" s="8"/>
      <c r="B19" s="26">
        <v>100</v>
      </c>
      <c r="C19" s="26">
        <f>IF(表5_710111213141516[[#This Row],[姓]]=表5_710111213141516[[#This Row],[男名]]=表5_710111213141516[[#This Row],[女名]]="","",10000000+ROW()-4)</f>
        <v>10000015</v>
      </c>
      <c r="D19" s="32" t="s">
        <v>436</v>
      </c>
      <c r="E19" s="32" t="s">
        <v>938</v>
      </c>
      <c r="F19" s="32" t="s">
        <v>956</v>
      </c>
      <c r="G19" s="8"/>
    </row>
    <row r="20" spans="1:7" x14ac:dyDescent="0.35">
      <c r="A20" s="8"/>
      <c r="B20" s="26">
        <v>100</v>
      </c>
      <c r="C20" s="26">
        <f>IF(表5_710111213141516[[#This Row],[姓]]=表5_710111213141516[[#This Row],[男名]]=表5_710111213141516[[#This Row],[女名]]="","",10000000+ROW()-4)</f>
        <v>10000016</v>
      </c>
      <c r="D20" s="32" t="s">
        <v>437</v>
      </c>
      <c r="E20" s="32" t="s">
        <v>939</v>
      </c>
      <c r="F20" s="32" t="s">
        <v>957</v>
      </c>
      <c r="G20" s="8"/>
    </row>
    <row r="21" spans="1:7" x14ac:dyDescent="0.35">
      <c r="A21" s="8"/>
      <c r="B21" s="26">
        <v>100</v>
      </c>
      <c r="C21" s="26">
        <f>IF(表5_710111213141516[[#This Row],[姓]]=表5_710111213141516[[#This Row],[男名]]=表5_710111213141516[[#This Row],[女名]]="","",10000000+ROW()-4)</f>
        <v>10000017</v>
      </c>
      <c r="D21" s="32" t="s">
        <v>438</v>
      </c>
      <c r="E21" s="32" t="s">
        <v>940</v>
      </c>
      <c r="F21" s="32" t="s">
        <v>958</v>
      </c>
      <c r="G21" s="8"/>
    </row>
    <row r="22" spans="1:7" x14ac:dyDescent="0.35">
      <c r="A22" s="8"/>
      <c r="B22" s="26">
        <v>100</v>
      </c>
      <c r="C22" s="26">
        <f>IF(表5_710111213141516[[#This Row],[姓]]=表5_710111213141516[[#This Row],[男名]]=表5_710111213141516[[#This Row],[女名]]="","",10000000+ROW()-4)</f>
        <v>10000018</v>
      </c>
      <c r="D22" s="32" t="s">
        <v>439</v>
      </c>
      <c r="E22" s="32" t="s">
        <v>941</v>
      </c>
      <c r="F22" s="32" t="s">
        <v>959</v>
      </c>
      <c r="G22" s="8"/>
    </row>
    <row r="23" spans="1:7" x14ac:dyDescent="0.35">
      <c r="A23" s="8"/>
      <c r="B23" s="26">
        <v>100</v>
      </c>
      <c r="C23" s="26">
        <f>IF(表5_710111213141516[[#This Row],[姓]]=表5_710111213141516[[#This Row],[男名]]=表5_710111213141516[[#This Row],[女名]]="","",10000000+ROW()-4)</f>
        <v>10000019</v>
      </c>
      <c r="D23" s="32" t="s">
        <v>440</v>
      </c>
      <c r="E23" s="32" t="s">
        <v>961</v>
      </c>
      <c r="F23" s="32" t="s">
        <v>960</v>
      </c>
      <c r="G23" s="8"/>
    </row>
    <row r="24" spans="1:7" x14ac:dyDescent="0.35">
      <c r="A24" s="8"/>
      <c r="B24" s="26">
        <v>100</v>
      </c>
      <c r="C24" s="26">
        <f>IF(表5_710111213141516[[#This Row],[姓]]=表5_710111213141516[[#This Row],[男名]]=表5_710111213141516[[#This Row],[女名]]="","",10000000+ROW()-4)</f>
        <v>10000020</v>
      </c>
      <c r="D24" s="32" t="s">
        <v>441</v>
      </c>
      <c r="E24" s="32" t="s">
        <v>964</v>
      </c>
      <c r="F24" s="32" t="s">
        <v>962</v>
      </c>
      <c r="G24" s="8"/>
    </row>
    <row r="25" spans="1:7" x14ac:dyDescent="0.35">
      <c r="A25" s="8"/>
      <c r="B25" s="26">
        <v>100</v>
      </c>
      <c r="C25" s="26">
        <f>IF(表5_710111213141516[[#This Row],[姓]]=表5_710111213141516[[#This Row],[男名]]=表5_710111213141516[[#This Row],[女名]]="","",10000000+ROW()-4)</f>
        <v>10000021</v>
      </c>
      <c r="D25" s="32" t="s">
        <v>442</v>
      </c>
      <c r="E25" s="32" t="s">
        <v>965</v>
      </c>
      <c r="F25" s="32" t="s">
        <v>963</v>
      </c>
      <c r="G25" s="8"/>
    </row>
    <row r="26" spans="1:7" x14ac:dyDescent="0.35">
      <c r="A26" s="8"/>
      <c r="B26" s="26">
        <v>100</v>
      </c>
      <c r="C26" s="26">
        <f>IF(表5_710111213141516[[#This Row],[姓]]=表5_710111213141516[[#This Row],[男名]]=表5_710111213141516[[#This Row],[女名]]="","",10000000+ROW()-4)</f>
        <v>10000022</v>
      </c>
      <c r="D26" s="32" t="s">
        <v>443</v>
      </c>
      <c r="E26" s="32"/>
      <c r="F26" s="32"/>
      <c r="G26" s="8"/>
    </row>
    <row r="27" spans="1:7" x14ac:dyDescent="0.35">
      <c r="A27" s="8"/>
      <c r="B27" s="26">
        <v>100</v>
      </c>
      <c r="C27" s="26">
        <f>IF(表5_710111213141516[[#This Row],[姓]]=表5_710111213141516[[#This Row],[男名]]=表5_710111213141516[[#This Row],[女名]]="","",10000000+ROW()-4)</f>
        <v>10000023</v>
      </c>
      <c r="D27" s="32" t="s">
        <v>444</v>
      </c>
      <c r="E27" s="32"/>
      <c r="F27" s="32"/>
      <c r="G27" s="8"/>
    </row>
    <row r="28" spans="1:7" x14ac:dyDescent="0.35">
      <c r="A28" s="8"/>
      <c r="B28" s="26">
        <v>100</v>
      </c>
      <c r="C28" s="26">
        <f>IF(表5_710111213141516[[#This Row],[姓]]=表5_710111213141516[[#This Row],[男名]]=表5_710111213141516[[#This Row],[女名]]="","",10000000+ROW()-4)</f>
        <v>10000024</v>
      </c>
      <c r="D28" s="32" t="s">
        <v>445</v>
      </c>
      <c r="E28" s="32"/>
      <c r="F28" s="32"/>
      <c r="G28" s="8"/>
    </row>
    <row r="29" spans="1:7" x14ac:dyDescent="0.35">
      <c r="A29" s="8"/>
      <c r="B29" s="26">
        <v>100</v>
      </c>
      <c r="C29" s="26">
        <f>IF(表5_710111213141516[[#This Row],[姓]]=表5_710111213141516[[#This Row],[男名]]=表5_710111213141516[[#This Row],[女名]]="","",10000000+ROW()-4)</f>
        <v>10000025</v>
      </c>
      <c r="D29" s="32" t="s">
        <v>446</v>
      </c>
      <c r="E29" s="32"/>
      <c r="F29" s="32"/>
      <c r="G29" s="8"/>
    </row>
    <row r="30" spans="1:7" x14ac:dyDescent="0.35">
      <c r="A30" s="8"/>
      <c r="B30" s="26">
        <v>100</v>
      </c>
      <c r="C30" s="26">
        <f>IF(表5_710111213141516[[#This Row],[姓]]=表5_710111213141516[[#This Row],[男名]]=表5_710111213141516[[#This Row],[女名]]="","",10000000+ROW()-4)</f>
        <v>10000026</v>
      </c>
      <c r="D30" s="32" t="s">
        <v>447</v>
      </c>
      <c r="E30" s="32"/>
      <c r="F30" s="32"/>
      <c r="G30" s="8"/>
    </row>
    <row r="31" spans="1:7" x14ac:dyDescent="0.35">
      <c r="A31" s="8"/>
      <c r="B31" s="26">
        <v>100</v>
      </c>
      <c r="C31" s="26">
        <f>IF(表5_710111213141516[[#This Row],[姓]]=表5_710111213141516[[#This Row],[男名]]=表5_710111213141516[[#This Row],[女名]]="","",10000000+ROW()-4)</f>
        <v>10000027</v>
      </c>
      <c r="D31" s="32" t="s">
        <v>448</v>
      </c>
      <c r="E31" s="32"/>
      <c r="F31" s="32"/>
      <c r="G31" s="8"/>
    </row>
    <row r="32" spans="1:7" x14ac:dyDescent="0.35">
      <c r="A32" s="8"/>
      <c r="B32" s="26">
        <v>100</v>
      </c>
      <c r="C32" s="26">
        <f>IF(表5_710111213141516[[#This Row],[姓]]=表5_710111213141516[[#This Row],[男名]]=表5_710111213141516[[#This Row],[女名]]="","",10000000+ROW()-4)</f>
        <v>10000028</v>
      </c>
      <c r="D32" s="32" t="s">
        <v>449</v>
      </c>
      <c r="E32" s="32"/>
      <c r="F32" s="32"/>
      <c r="G32" s="8"/>
    </row>
    <row r="33" spans="1:7" x14ac:dyDescent="0.35">
      <c r="A33" s="8"/>
      <c r="B33" s="26">
        <v>100</v>
      </c>
      <c r="C33" s="26">
        <f>IF(表5_710111213141516[[#This Row],[姓]]=表5_710111213141516[[#This Row],[男名]]=表5_710111213141516[[#This Row],[女名]]="","",10000000+ROW()-4)</f>
        <v>10000029</v>
      </c>
      <c r="D33" s="32" t="s">
        <v>450</v>
      </c>
      <c r="E33" s="32"/>
      <c r="F33" s="32"/>
      <c r="G33" s="8"/>
    </row>
    <row r="34" spans="1:7" x14ac:dyDescent="0.35">
      <c r="A34" s="8"/>
      <c r="B34" s="26">
        <v>100</v>
      </c>
      <c r="C34" s="26">
        <f>IF(表5_710111213141516[[#This Row],[姓]]=表5_710111213141516[[#This Row],[男名]]=表5_710111213141516[[#This Row],[女名]]="","",10000000+ROW()-4)</f>
        <v>10000030</v>
      </c>
      <c r="D34" s="32" t="s">
        <v>451</v>
      </c>
      <c r="E34" s="32"/>
      <c r="F34" s="32"/>
      <c r="G34" s="8"/>
    </row>
    <row r="35" spans="1:7" x14ac:dyDescent="0.35">
      <c r="A35" s="8"/>
      <c r="B35" s="26">
        <v>100</v>
      </c>
      <c r="C35" s="26">
        <f>IF(表5_710111213141516[[#This Row],[姓]]=表5_710111213141516[[#This Row],[男名]]=表5_710111213141516[[#This Row],[女名]]="","",10000000+ROW()-4)</f>
        <v>10000031</v>
      </c>
      <c r="D35" s="32" t="s">
        <v>452</v>
      </c>
      <c r="E35" s="32"/>
      <c r="F35" s="32"/>
      <c r="G35" s="8"/>
    </row>
    <row r="36" spans="1:7" x14ac:dyDescent="0.35">
      <c r="A36" s="8"/>
      <c r="B36" s="26">
        <v>100</v>
      </c>
      <c r="C36" s="26">
        <f>IF(表5_710111213141516[[#This Row],[姓]]=表5_710111213141516[[#This Row],[男名]]=表5_710111213141516[[#This Row],[女名]]="","",10000000+ROW()-4)</f>
        <v>10000032</v>
      </c>
      <c r="D36" s="32" t="s">
        <v>453</v>
      </c>
      <c r="E36" s="32"/>
      <c r="F36" s="32"/>
      <c r="G36" s="8"/>
    </row>
    <row r="37" spans="1:7" x14ac:dyDescent="0.35">
      <c r="A37" s="8"/>
      <c r="B37" s="26">
        <v>100</v>
      </c>
      <c r="C37" s="26">
        <f>IF(表5_710111213141516[[#This Row],[姓]]=表5_710111213141516[[#This Row],[男名]]=表5_710111213141516[[#This Row],[女名]]="","",10000000+ROW()-4)</f>
        <v>10000033</v>
      </c>
      <c r="D37" s="32" t="s">
        <v>454</v>
      </c>
      <c r="E37" s="32"/>
      <c r="F37" s="32"/>
      <c r="G37" s="8"/>
    </row>
    <row r="38" spans="1:7" x14ac:dyDescent="0.35">
      <c r="A38" s="8"/>
      <c r="B38" s="26">
        <v>100</v>
      </c>
      <c r="C38" s="26">
        <f>IF(表5_710111213141516[[#This Row],[姓]]=表5_710111213141516[[#This Row],[男名]]=表5_710111213141516[[#This Row],[女名]]="","",10000000+ROW()-4)</f>
        <v>10000034</v>
      </c>
      <c r="D38" s="32" t="s">
        <v>455</v>
      </c>
      <c r="E38" s="32"/>
      <c r="F38" s="32"/>
      <c r="G38" s="8"/>
    </row>
    <row r="39" spans="1:7" x14ac:dyDescent="0.35">
      <c r="A39" s="8"/>
      <c r="B39" s="26">
        <v>100</v>
      </c>
      <c r="C39" s="26">
        <f>IF(表5_710111213141516[[#This Row],[姓]]=表5_710111213141516[[#This Row],[男名]]=表5_710111213141516[[#This Row],[女名]]="","",10000000+ROW()-4)</f>
        <v>10000035</v>
      </c>
      <c r="D39" s="32" t="s">
        <v>456</v>
      </c>
      <c r="E39" s="32"/>
      <c r="F39" s="32"/>
      <c r="G39" s="8"/>
    </row>
    <row r="40" spans="1:7" x14ac:dyDescent="0.35">
      <c r="A40" s="8"/>
      <c r="B40" s="26">
        <v>100</v>
      </c>
      <c r="C40" s="26">
        <f>IF(表5_710111213141516[[#This Row],[姓]]=表5_710111213141516[[#This Row],[男名]]=表5_710111213141516[[#This Row],[女名]]="","",10000000+ROW()-4)</f>
        <v>10000036</v>
      </c>
      <c r="D40" s="32" t="s">
        <v>457</v>
      </c>
      <c r="E40" s="32"/>
      <c r="F40" s="32"/>
      <c r="G40" s="8"/>
    </row>
    <row r="41" spans="1:7" x14ac:dyDescent="0.35">
      <c r="A41" s="8"/>
      <c r="B41" s="26">
        <v>100</v>
      </c>
      <c r="C41" s="26">
        <f>IF(表5_710111213141516[[#This Row],[姓]]=表5_710111213141516[[#This Row],[男名]]=表5_710111213141516[[#This Row],[女名]]="","",10000000+ROW()-4)</f>
        <v>10000037</v>
      </c>
      <c r="D41" s="32" t="s">
        <v>458</v>
      </c>
      <c r="E41" s="32"/>
      <c r="F41" s="32"/>
      <c r="G41" s="8"/>
    </row>
    <row r="42" spans="1:7" x14ac:dyDescent="0.35">
      <c r="A42" s="8"/>
      <c r="B42" s="26">
        <v>100</v>
      </c>
      <c r="C42" s="26">
        <f>IF(表5_710111213141516[[#This Row],[姓]]=表5_710111213141516[[#This Row],[男名]]=表5_710111213141516[[#This Row],[女名]]="","",10000000+ROW()-4)</f>
        <v>10000038</v>
      </c>
      <c r="D42" s="32" t="s">
        <v>459</v>
      </c>
      <c r="E42" s="32"/>
      <c r="F42" s="32"/>
      <c r="G42" s="8"/>
    </row>
    <row r="43" spans="1:7" x14ac:dyDescent="0.35">
      <c r="A43" s="8"/>
      <c r="B43" s="26">
        <v>100</v>
      </c>
      <c r="C43" s="26">
        <f>IF(表5_710111213141516[[#This Row],[姓]]=表5_710111213141516[[#This Row],[男名]]=表5_710111213141516[[#This Row],[女名]]="","",10000000+ROW()-4)</f>
        <v>10000039</v>
      </c>
      <c r="D43" s="32" t="s">
        <v>460</v>
      </c>
      <c r="E43" s="32"/>
      <c r="F43" s="32"/>
      <c r="G43" s="8"/>
    </row>
    <row r="44" spans="1:7" x14ac:dyDescent="0.35">
      <c r="A44" s="8"/>
      <c r="B44" s="26">
        <v>100</v>
      </c>
      <c r="C44" s="26">
        <f>IF(表5_710111213141516[[#This Row],[姓]]=表5_710111213141516[[#This Row],[男名]]=表5_710111213141516[[#This Row],[女名]]="","",10000000+ROW()-4)</f>
        <v>10000040</v>
      </c>
      <c r="D44" s="32" t="s">
        <v>461</v>
      </c>
      <c r="E44" s="32"/>
      <c r="F44" s="32"/>
      <c r="G44" s="8"/>
    </row>
    <row r="45" spans="1:7" x14ac:dyDescent="0.35">
      <c r="A45" s="8"/>
      <c r="B45" s="26">
        <v>100</v>
      </c>
      <c r="C45" s="26">
        <f>IF(表5_710111213141516[[#This Row],[姓]]=表5_710111213141516[[#This Row],[男名]]=表5_710111213141516[[#This Row],[女名]]="","",10000000+ROW()-4)</f>
        <v>10000041</v>
      </c>
      <c r="D45" s="32" t="s">
        <v>462</v>
      </c>
      <c r="E45" s="32"/>
      <c r="F45" s="32"/>
      <c r="G45" s="8"/>
    </row>
    <row r="46" spans="1:7" x14ac:dyDescent="0.35">
      <c r="A46" s="8"/>
      <c r="B46" s="26">
        <v>100</v>
      </c>
      <c r="C46" s="26">
        <f>IF(表5_710111213141516[[#This Row],[姓]]=表5_710111213141516[[#This Row],[男名]]=表5_710111213141516[[#This Row],[女名]]="","",10000000+ROW()-4)</f>
        <v>10000042</v>
      </c>
      <c r="D46" s="32" t="s">
        <v>463</v>
      </c>
      <c r="E46" s="32"/>
      <c r="F46" s="32"/>
      <c r="G46" s="8"/>
    </row>
    <row r="47" spans="1:7" x14ac:dyDescent="0.35">
      <c r="A47" s="8"/>
      <c r="B47" s="26">
        <v>100</v>
      </c>
      <c r="C47" s="26">
        <f>IF(表5_710111213141516[[#This Row],[姓]]=表5_710111213141516[[#This Row],[男名]]=表5_710111213141516[[#This Row],[女名]]="","",10000000+ROW()-4)</f>
        <v>10000043</v>
      </c>
      <c r="D47" s="32" t="s">
        <v>464</v>
      </c>
      <c r="E47" s="32"/>
      <c r="F47" s="32"/>
      <c r="G47" s="8"/>
    </row>
    <row r="48" spans="1:7" x14ac:dyDescent="0.35">
      <c r="A48" s="8"/>
      <c r="B48" s="26">
        <v>100</v>
      </c>
      <c r="C48" s="26">
        <f>IF(表5_710111213141516[[#This Row],[姓]]=表5_710111213141516[[#This Row],[男名]]=表5_710111213141516[[#This Row],[女名]]="","",10000000+ROW()-4)</f>
        <v>10000044</v>
      </c>
      <c r="D48" s="32" t="s">
        <v>465</v>
      </c>
      <c r="E48" s="32"/>
      <c r="F48" s="32"/>
      <c r="G48" s="8"/>
    </row>
    <row r="49" spans="1:7" x14ac:dyDescent="0.35">
      <c r="A49" s="8"/>
      <c r="B49" s="26">
        <v>100</v>
      </c>
      <c r="C49" s="26">
        <f>IF(表5_710111213141516[[#This Row],[姓]]=表5_710111213141516[[#This Row],[男名]]=表5_710111213141516[[#This Row],[女名]]="","",10000000+ROW()-4)</f>
        <v>10000045</v>
      </c>
      <c r="D49" s="32" t="s">
        <v>466</v>
      </c>
      <c r="E49" s="32"/>
      <c r="F49" s="32"/>
      <c r="G49" s="8"/>
    </row>
    <row r="50" spans="1:7" x14ac:dyDescent="0.35">
      <c r="A50" s="8"/>
      <c r="B50" s="26">
        <v>100</v>
      </c>
      <c r="C50" s="26">
        <f>IF(表5_710111213141516[[#This Row],[姓]]=表5_710111213141516[[#This Row],[男名]]=表5_710111213141516[[#This Row],[女名]]="","",10000000+ROW()-4)</f>
        <v>10000046</v>
      </c>
      <c r="D50" s="32" t="s">
        <v>467</v>
      </c>
      <c r="E50" s="32"/>
      <c r="F50" s="32"/>
      <c r="G50" s="8"/>
    </row>
    <row r="51" spans="1:7" x14ac:dyDescent="0.35">
      <c r="A51" s="8"/>
      <c r="B51" s="26">
        <v>100</v>
      </c>
      <c r="C51" s="26">
        <f>IF(表5_710111213141516[[#This Row],[姓]]=表5_710111213141516[[#This Row],[男名]]=表5_710111213141516[[#This Row],[女名]]="","",10000000+ROW()-4)</f>
        <v>10000047</v>
      </c>
      <c r="D51" s="32" t="s">
        <v>468</v>
      </c>
      <c r="E51" s="32"/>
      <c r="F51" s="32"/>
      <c r="G51" s="8"/>
    </row>
    <row r="52" spans="1:7" x14ac:dyDescent="0.35">
      <c r="A52" s="8"/>
      <c r="B52" s="26">
        <v>100</v>
      </c>
      <c r="C52" s="26">
        <f>IF(表5_710111213141516[[#This Row],[姓]]=表5_710111213141516[[#This Row],[男名]]=表5_710111213141516[[#This Row],[女名]]="","",10000000+ROW()-4)</f>
        <v>10000048</v>
      </c>
      <c r="D52" s="32" t="s">
        <v>469</v>
      </c>
      <c r="E52" s="32"/>
      <c r="F52" s="32"/>
      <c r="G52" s="8"/>
    </row>
    <row r="53" spans="1:7" x14ac:dyDescent="0.35">
      <c r="A53" s="8"/>
      <c r="B53" s="26">
        <v>100</v>
      </c>
      <c r="C53" s="26">
        <f>IF(表5_710111213141516[[#This Row],[姓]]=表5_710111213141516[[#This Row],[男名]]=表5_710111213141516[[#This Row],[女名]]="","",10000000+ROW()-4)</f>
        <v>10000049</v>
      </c>
      <c r="D53" s="32" t="s">
        <v>470</v>
      </c>
      <c r="E53" s="32"/>
      <c r="F53" s="32"/>
      <c r="G53" s="8"/>
    </row>
    <row r="54" spans="1:7" x14ac:dyDescent="0.35">
      <c r="A54" s="8"/>
      <c r="B54" s="26">
        <v>100</v>
      </c>
      <c r="C54" s="26">
        <f>IF(表5_710111213141516[[#This Row],[姓]]=表5_710111213141516[[#This Row],[男名]]=表5_710111213141516[[#This Row],[女名]]="","",10000000+ROW()-4)</f>
        <v>10000050</v>
      </c>
      <c r="D54" s="32" t="s">
        <v>471</v>
      </c>
      <c r="E54" s="32"/>
      <c r="F54" s="32"/>
      <c r="G54" s="8"/>
    </row>
    <row r="55" spans="1:7" x14ac:dyDescent="0.35">
      <c r="A55" s="8"/>
      <c r="B55" s="26">
        <v>100</v>
      </c>
      <c r="C55" s="26">
        <f>IF(表5_710111213141516[[#This Row],[姓]]=表5_710111213141516[[#This Row],[男名]]=表5_710111213141516[[#This Row],[女名]]="","",10000000+ROW()-4)</f>
        <v>10000051</v>
      </c>
      <c r="D55" s="32" t="s">
        <v>472</v>
      </c>
      <c r="E55" s="32"/>
      <c r="F55" s="32"/>
      <c r="G55" s="8"/>
    </row>
    <row r="56" spans="1:7" x14ac:dyDescent="0.35">
      <c r="A56" s="8"/>
      <c r="B56" s="26">
        <v>100</v>
      </c>
      <c r="C56" s="26">
        <f>IF(表5_710111213141516[[#This Row],[姓]]=表5_710111213141516[[#This Row],[男名]]=表5_710111213141516[[#This Row],[女名]]="","",10000000+ROW()-4)</f>
        <v>10000052</v>
      </c>
      <c r="D56" s="32" t="s">
        <v>473</v>
      </c>
      <c r="E56" s="32"/>
      <c r="F56" s="32"/>
      <c r="G56" s="8"/>
    </row>
    <row r="57" spans="1:7" x14ac:dyDescent="0.35">
      <c r="A57" s="8"/>
      <c r="B57" s="26">
        <v>100</v>
      </c>
      <c r="C57" s="26">
        <f>IF(表5_710111213141516[[#This Row],[姓]]=表5_710111213141516[[#This Row],[男名]]=表5_710111213141516[[#This Row],[女名]]="","",10000000+ROW()-4)</f>
        <v>10000053</v>
      </c>
      <c r="D57" s="32" t="s">
        <v>474</v>
      </c>
      <c r="E57" s="32"/>
      <c r="F57" s="32"/>
      <c r="G57" s="8"/>
    </row>
    <row r="58" spans="1:7" x14ac:dyDescent="0.35">
      <c r="A58" s="8"/>
      <c r="B58" s="26">
        <v>100</v>
      </c>
      <c r="C58" s="26">
        <f>IF(表5_710111213141516[[#This Row],[姓]]=表5_710111213141516[[#This Row],[男名]]=表5_710111213141516[[#This Row],[女名]]="","",10000000+ROW()-4)</f>
        <v>10000054</v>
      </c>
      <c r="D58" s="32" t="s">
        <v>475</v>
      </c>
      <c r="E58" s="32"/>
      <c r="F58" s="32"/>
      <c r="G58" s="8"/>
    </row>
    <row r="59" spans="1:7" x14ac:dyDescent="0.35">
      <c r="A59" s="8"/>
      <c r="B59" s="26">
        <v>100</v>
      </c>
      <c r="C59" s="26">
        <f>IF(表5_710111213141516[[#This Row],[姓]]=表5_710111213141516[[#This Row],[男名]]=表5_710111213141516[[#This Row],[女名]]="","",10000000+ROW()-4)</f>
        <v>10000055</v>
      </c>
      <c r="D59" s="32" t="s">
        <v>476</v>
      </c>
      <c r="E59" s="32"/>
      <c r="F59" s="32"/>
      <c r="G59" s="8"/>
    </row>
    <row r="60" spans="1:7" x14ac:dyDescent="0.35">
      <c r="A60" s="8"/>
      <c r="B60" s="26">
        <v>100</v>
      </c>
      <c r="C60" s="26">
        <f>IF(表5_710111213141516[[#This Row],[姓]]=表5_710111213141516[[#This Row],[男名]]=表5_710111213141516[[#This Row],[女名]]="","",10000000+ROW()-4)</f>
        <v>10000056</v>
      </c>
      <c r="D60" s="32" t="s">
        <v>477</v>
      </c>
      <c r="E60" s="32"/>
      <c r="F60" s="32"/>
      <c r="G60" s="8"/>
    </row>
    <row r="61" spans="1:7" x14ac:dyDescent="0.35">
      <c r="A61" s="8"/>
      <c r="B61" s="26">
        <v>100</v>
      </c>
      <c r="C61" s="26">
        <f>IF(表5_710111213141516[[#This Row],[姓]]=表5_710111213141516[[#This Row],[男名]]=表5_710111213141516[[#This Row],[女名]]="","",10000000+ROW()-4)</f>
        <v>10000057</v>
      </c>
      <c r="D61" s="32" t="s">
        <v>478</v>
      </c>
      <c r="E61" s="32"/>
      <c r="F61" s="32"/>
      <c r="G61" s="8"/>
    </row>
    <row r="62" spans="1:7" x14ac:dyDescent="0.35">
      <c r="A62" s="8"/>
      <c r="B62" s="26">
        <v>100</v>
      </c>
      <c r="C62" s="26">
        <f>IF(表5_710111213141516[[#This Row],[姓]]=表5_710111213141516[[#This Row],[男名]]=表5_710111213141516[[#This Row],[女名]]="","",10000000+ROW()-4)</f>
        <v>10000058</v>
      </c>
      <c r="D62" s="32" t="s">
        <v>479</v>
      </c>
      <c r="E62" s="32"/>
      <c r="F62" s="32"/>
      <c r="G62" s="8"/>
    </row>
    <row r="63" spans="1:7" x14ac:dyDescent="0.35">
      <c r="A63" s="8"/>
      <c r="B63" s="26">
        <v>100</v>
      </c>
      <c r="C63" s="26">
        <f>IF(表5_710111213141516[[#This Row],[姓]]=表5_710111213141516[[#This Row],[男名]]=表5_710111213141516[[#This Row],[女名]]="","",10000000+ROW()-4)</f>
        <v>10000059</v>
      </c>
      <c r="D63" s="32" t="s">
        <v>480</v>
      </c>
      <c r="E63" s="32"/>
      <c r="F63" s="32"/>
      <c r="G63" s="8"/>
    </row>
    <row r="64" spans="1:7" x14ac:dyDescent="0.35">
      <c r="A64" s="8"/>
      <c r="B64" s="26">
        <v>100</v>
      </c>
      <c r="C64" s="26">
        <f>IF(表5_710111213141516[[#This Row],[姓]]=表5_710111213141516[[#This Row],[男名]]=表5_710111213141516[[#This Row],[女名]]="","",10000000+ROW()-4)</f>
        <v>10000060</v>
      </c>
      <c r="D64" s="32" t="s">
        <v>481</v>
      </c>
      <c r="E64" s="32"/>
      <c r="F64" s="32"/>
      <c r="G64" s="8"/>
    </row>
    <row r="65" spans="1:7" x14ac:dyDescent="0.35">
      <c r="A65" s="8"/>
      <c r="B65" s="26">
        <v>100</v>
      </c>
      <c r="C65" s="26">
        <f>IF(表5_710111213141516[[#This Row],[姓]]=表5_710111213141516[[#This Row],[男名]]=表5_710111213141516[[#This Row],[女名]]="","",10000000+ROW()-4)</f>
        <v>10000061</v>
      </c>
      <c r="D65" s="32" t="s">
        <v>482</v>
      </c>
      <c r="E65" s="32"/>
      <c r="F65" s="32"/>
      <c r="G65" s="8"/>
    </row>
    <row r="66" spans="1:7" x14ac:dyDescent="0.35">
      <c r="A66" s="8"/>
      <c r="B66" s="26">
        <v>100</v>
      </c>
      <c r="C66" s="26">
        <f>IF(表5_710111213141516[[#This Row],[姓]]=表5_710111213141516[[#This Row],[男名]]=表5_710111213141516[[#This Row],[女名]]="","",10000000+ROW()-4)</f>
        <v>10000062</v>
      </c>
      <c r="D66" s="32" t="s">
        <v>483</v>
      </c>
      <c r="E66" s="32"/>
      <c r="F66" s="32"/>
      <c r="G66" s="8"/>
    </row>
    <row r="67" spans="1:7" x14ac:dyDescent="0.35">
      <c r="A67" s="8"/>
      <c r="B67" s="26">
        <v>100</v>
      </c>
      <c r="C67" s="26">
        <f>IF(表5_710111213141516[[#This Row],[姓]]=表5_710111213141516[[#This Row],[男名]]=表5_710111213141516[[#This Row],[女名]]="","",10000000+ROW()-4)</f>
        <v>10000063</v>
      </c>
      <c r="D67" s="32" t="s">
        <v>484</v>
      </c>
      <c r="E67" s="32"/>
      <c r="F67" s="32"/>
      <c r="G67" s="8"/>
    </row>
    <row r="68" spans="1:7" x14ac:dyDescent="0.35">
      <c r="A68" s="8"/>
      <c r="B68" s="26">
        <v>100</v>
      </c>
      <c r="C68" s="26">
        <f>IF(表5_710111213141516[[#This Row],[姓]]=表5_710111213141516[[#This Row],[男名]]=表5_710111213141516[[#This Row],[女名]]="","",10000000+ROW()-4)</f>
        <v>10000064</v>
      </c>
      <c r="D68" s="32" t="s">
        <v>485</v>
      </c>
      <c r="E68" s="32"/>
      <c r="F68" s="32"/>
      <c r="G68" s="8"/>
    </row>
    <row r="69" spans="1:7" x14ac:dyDescent="0.35">
      <c r="A69" s="8"/>
      <c r="B69" s="26">
        <v>100</v>
      </c>
      <c r="C69" s="26">
        <f>IF(表5_710111213141516[[#This Row],[姓]]=表5_710111213141516[[#This Row],[男名]]=表5_710111213141516[[#This Row],[女名]]="","",10000000+ROW()-4)</f>
        <v>10000065</v>
      </c>
      <c r="D69" s="32" t="s">
        <v>486</v>
      </c>
      <c r="E69" s="32"/>
      <c r="F69" s="32"/>
      <c r="G69" s="8"/>
    </row>
    <row r="70" spans="1:7" x14ac:dyDescent="0.35">
      <c r="A70" s="8"/>
      <c r="B70" s="26">
        <v>100</v>
      </c>
      <c r="C70" s="26">
        <f>IF(表5_710111213141516[[#This Row],[姓]]=表5_710111213141516[[#This Row],[男名]]=表5_710111213141516[[#This Row],[女名]]="","",10000000+ROW()-4)</f>
        <v>10000066</v>
      </c>
      <c r="D70" s="32" t="s">
        <v>487</v>
      </c>
      <c r="E70" s="32"/>
      <c r="F70" s="32"/>
      <c r="G70" s="8"/>
    </row>
    <row r="71" spans="1:7" x14ac:dyDescent="0.35">
      <c r="A71" s="8"/>
      <c r="B71" s="26">
        <v>100</v>
      </c>
      <c r="C71" s="26">
        <f>IF(表5_710111213141516[[#This Row],[姓]]=表5_710111213141516[[#This Row],[男名]]=表5_710111213141516[[#This Row],[女名]]="","",10000000+ROW()-4)</f>
        <v>10000067</v>
      </c>
      <c r="D71" s="32" t="s">
        <v>488</v>
      </c>
      <c r="E71" s="32"/>
      <c r="F71" s="32"/>
      <c r="G71" s="8"/>
    </row>
    <row r="72" spans="1:7" x14ac:dyDescent="0.35">
      <c r="A72" s="8"/>
      <c r="B72" s="26">
        <v>100</v>
      </c>
      <c r="C72" s="26">
        <f>IF(表5_710111213141516[[#This Row],[姓]]=表5_710111213141516[[#This Row],[男名]]=表5_710111213141516[[#This Row],[女名]]="","",10000000+ROW()-4)</f>
        <v>10000068</v>
      </c>
      <c r="D72" s="32" t="s">
        <v>489</v>
      </c>
      <c r="E72" s="32"/>
      <c r="F72" s="32"/>
      <c r="G72" s="8"/>
    </row>
    <row r="73" spans="1:7" x14ac:dyDescent="0.35">
      <c r="A73" s="8"/>
      <c r="B73" s="26">
        <v>100</v>
      </c>
      <c r="C73" s="26">
        <f>IF(表5_710111213141516[[#This Row],[姓]]=表5_710111213141516[[#This Row],[男名]]=表5_710111213141516[[#This Row],[女名]]="","",10000000+ROW()-4)</f>
        <v>10000069</v>
      </c>
      <c r="D73" s="32" t="s">
        <v>490</v>
      </c>
      <c r="E73" s="32"/>
      <c r="F73" s="32"/>
      <c r="G73" s="8"/>
    </row>
    <row r="74" spans="1:7" x14ac:dyDescent="0.35">
      <c r="A74" s="8"/>
      <c r="B74" s="26">
        <v>100</v>
      </c>
      <c r="C74" s="26">
        <f>IF(表5_710111213141516[[#This Row],[姓]]=表5_710111213141516[[#This Row],[男名]]=表5_710111213141516[[#This Row],[女名]]="","",10000000+ROW()-4)</f>
        <v>10000070</v>
      </c>
      <c r="D74" s="32" t="s">
        <v>491</v>
      </c>
      <c r="E74" s="32"/>
      <c r="F74" s="32"/>
      <c r="G74" s="8"/>
    </row>
    <row r="75" spans="1:7" x14ac:dyDescent="0.35">
      <c r="A75" s="8"/>
      <c r="B75" s="26">
        <v>100</v>
      </c>
      <c r="C75" s="26">
        <f>IF(表5_710111213141516[[#This Row],[姓]]=表5_710111213141516[[#This Row],[男名]]=表5_710111213141516[[#This Row],[女名]]="","",10000000+ROW()-4)</f>
        <v>10000071</v>
      </c>
      <c r="D75" s="32" t="s">
        <v>492</v>
      </c>
      <c r="E75" s="32"/>
      <c r="F75" s="32"/>
      <c r="G75" s="8"/>
    </row>
    <row r="76" spans="1:7" x14ac:dyDescent="0.35">
      <c r="A76" s="8"/>
      <c r="B76" s="26">
        <v>100</v>
      </c>
      <c r="C76" s="26">
        <f>IF(表5_710111213141516[[#This Row],[姓]]=表5_710111213141516[[#This Row],[男名]]=表5_710111213141516[[#This Row],[女名]]="","",10000000+ROW()-4)</f>
        <v>10000072</v>
      </c>
      <c r="D76" s="32" t="s">
        <v>493</v>
      </c>
      <c r="E76" s="32"/>
      <c r="F76" s="32"/>
      <c r="G76" s="8"/>
    </row>
    <row r="77" spans="1:7" x14ac:dyDescent="0.35">
      <c r="A77" s="8"/>
      <c r="B77" s="26">
        <v>100</v>
      </c>
      <c r="C77" s="26">
        <f>IF(表5_710111213141516[[#This Row],[姓]]=表5_710111213141516[[#This Row],[男名]]=表5_710111213141516[[#This Row],[女名]]="","",10000000+ROW()-4)</f>
        <v>10000073</v>
      </c>
      <c r="D77" s="32" t="s">
        <v>494</v>
      </c>
      <c r="E77" s="32"/>
      <c r="F77" s="32"/>
      <c r="G77" s="8"/>
    </row>
    <row r="78" spans="1:7" x14ac:dyDescent="0.35">
      <c r="A78" s="8"/>
      <c r="B78" s="26">
        <v>100</v>
      </c>
      <c r="C78" s="26">
        <f>IF(表5_710111213141516[[#This Row],[姓]]=表5_710111213141516[[#This Row],[男名]]=表5_710111213141516[[#This Row],[女名]]="","",10000000+ROW()-4)</f>
        <v>10000074</v>
      </c>
      <c r="D78" s="32" t="s">
        <v>495</v>
      </c>
      <c r="E78" s="32"/>
      <c r="F78" s="32"/>
      <c r="G78" s="8"/>
    </row>
    <row r="79" spans="1:7" x14ac:dyDescent="0.35">
      <c r="A79" s="8"/>
      <c r="B79" s="26">
        <v>100</v>
      </c>
      <c r="C79" s="26">
        <f>IF(表5_710111213141516[[#This Row],[姓]]=表5_710111213141516[[#This Row],[男名]]=表5_710111213141516[[#This Row],[女名]]="","",10000000+ROW()-4)</f>
        <v>10000075</v>
      </c>
      <c r="D79" s="32" t="s">
        <v>496</v>
      </c>
      <c r="E79" s="32"/>
      <c r="F79" s="32"/>
      <c r="G79" s="8"/>
    </row>
    <row r="80" spans="1:7" x14ac:dyDescent="0.35">
      <c r="A80" s="8"/>
      <c r="B80" s="26">
        <v>100</v>
      </c>
      <c r="C80" s="26">
        <f>IF(表5_710111213141516[[#This Row],[姓]]=表5_710111213141516[[#This Row],[男名]]=表5_710111213141516[[#This Row],[女名]]="","",10000000+ROW()-4)</f>
        <v>10000076</v>
      </c>
      <c r="D80" s="32" t="s">
        <v>497</v>
      </c>
      <c r="E80" s="32"/>
      <c r="F80" s="32"/>
      <c r="G80" s="8"/>
    </row>
    <row r="81" spans="1:7" x14ac:dyDescent="0.35">
      <c r="A81" s="8"/>
      <c r="B81" s="26">
        <v>100</v>
      </c>
      <c r="C81" s="26">
        <f>IF(表5_710111213141516[[#This Row],[姓]]=表5_710111213141516[[#This Row],[男名]]=表5_710111213141516[[#This Row],[女名]]="","",10000000+ROW()-4)</f>
        <v>10000077</v>
      </c>
      <c r="D81" s="32" t="s">
        <v>498</v>
      </c>
      <c r="E81" s="32"/>
      <c r="F81" s="32"/>
      <c r="G81" s="8"/>
    </row>
    <row r="82" spans="1:7" x14ac:dyDescent="0.35">
      <c r="A82" s="8"/>
      <c r="B82" s="26">
        <v>100</v>
      </c>
      <c r="C82" s="26">
        <f>IF(表5_710111213141516[[#This Row],[姓]]=表5_710111213141516[[#This Row],[男名]]=表5_710111213141516[[#This Row],[女名]]="","",10000000+ROW()-4)</f>
        <v>10000078</v>
      </c>
      <c r="D82" s="32" t="s">
        <v>499</v>
      </c>
      <c r="E82" s="32"/>
      <c r="F82" s="32"/>
      <c r="G82" s="8"/>
    </row>
    <row r="83" spans="1:7" x14ac:dyDescent="0.35">
      <c r="A83" s="8"/>
      <c r="B83" s="26">
        <v>100</v>
      </c>
      <c r="C83" s="26">
        <f>IF(表5_710111213141516[[#This Row],[姓]]=表5_710111213141516[[#This Row],[男名]]=表5_710111213141516[[#This Row],[女名]]="","",10000000+ROW()-4)</f>
        <v>10000079</v>
      </c>
      <c r="D83" s="32" t="s">
        <v>500</v>
      </c>
      <c r="E83" s="32"/>
      <c r="F83" s="32"/>
      <c r="G83" s="8"/>
    </row>
    <row r="84" spans="1:7" x14ac:dyDescent="0.35">
      <c r="A84" s="8"/>
      <c r="B84" s="26">
        <v>100</v>
      </c>
      <c r="C84" s="26">
        <f>IF(表5_710111213141516[[#This Row],[姓]]=表5_710111213141516[[#This Row],[男名]]=表5_710111213141516[[#This Row],[女名]]="","",10000000+ROW()-4)</f>
        <v>10000080</v>
      </c>
      <c r="D84" s="32" t="s">
        <v>501</v>
      </c>
      <c r="E84" s="32"/>
      <c r="F84" s="32"/>
      <c r="G84" s="8"/>
    </row>
    <row r="85" spans="1:7" x14ac:dyDescent="0.35">
      <c r="A85" s="8"/>
      <c r="B85" s="26">
        <v>100</v>
      </c>
      <c r="C85" s="26">
        <f>IF(表5_710111213141516[[#This Row],[姓]]=表5_710111213141516[[#This Row],[男名]]=表5_710111213141516[[#This Row],[女名]]="","",10000000+ROW()-4)</f>
        <v>10000081</v>
      </c>
      <c r="D85" s="32" t="s">
        <v>502</v>
      </c>
      <c r="E85" s="32"/>
      <c r="F85" s="32"/>
      <c r="G85" s="8"/>
    </row>
    <row r="86" spans="1:7" x14ac:dyDescent="0.35">
      <c r="A86" s="8"/>
      <c r="B86" s="26">
        <v>100</v>
      </c>
      <c r="C86" s="26">
        <f>IF(表5_710111213141516[[#This Row],[姓]]=表5_710111213141516[[#This Row],[男名]]=表5_710111213141516[[#This Row],[女名]]="","",10000000+ROW()-4)</f>
        <v>10000082</v>
      </c>
      <c r="D86" s="32" t="s">
        <v>503</v>
      </c>
      <c r="E86" s="32"/>
      <c r="F86" s="32"/>
      <c r="G86" s="8"/>
    </row>
    <row r="87" spans="1:7" x14ac:dyDescent="0.35">
      <c r="A87" s="8"/>
      <c r="B87" s="26">
        <v>100</v>
      </c>
      <c r="C87" s="26">
        <f>IF(表5_710111213141516[[#This Row],[姓]]=表5_710111213141516[[#This Row],[男名]]=表5_710111213141516[[#This Row],[女名]]="","",10000000+ROW()-4)</f>
        <v>10000083</v>
      </c>
      <c r="D87" s="32" t="s">
        <v>504</v>
      </c>
      <c r="E87" s="32"/>
      <c r="F87" s="32"/>
      <c r="G87" s="8"/>
    </row>
    <row r="88" spans="1:7" x14ac:dyDescent="0.35">
      <c r="A88" s="8"/>
      <c r="B88" s="26">
        <v>100</v>
      </c>
      <c r="C88" s="26">
        <f>IF(表5_710111213141516[[#This Row],[姓]]=表5_710111213141516[[#This Row],[男名]]=表5_710111213141516[[#This Row],[女名]]="","",10000000+ROW()-4)</f>
        <v>10000084</v>
      </c>
      <c r="D88" s="32" t="s">
        <v>505</v>
      </c>
      <c r="E88" s="32"/>
      <c r="F88" s="32"/>
      <c r="G88" s="8"/>
    </row>
    <row r="89" spans="1:7" x14ac:dyDescent="0.35">
      <c r="A89" s="8"/>
      <c r="B89" s="26">
        <v>100</v>
      </c>
      <c r="C89" s="26">
        <f>IF(表5_710111213141516[[#This Row],[姓]]=表5_710111213141516[[#This Row],[男名]]=表5_710111213141516[[#This Row],[女名]]="","",10000000+ROW()-4)</f>
        <v>10000085</v>
      </c>
      <c r="D89" s="32" t="s">
        <v>506</v>
      </c>
      <c r="E89" s="32"/>
      <c r="F89" s="32"/>
      <c r="G89" s="8"/>
    </row>
    <row r="90" spans="1:7" x14ac:dyDescent="0.35">
      <c r="A90" s="8"/>
      <c r="B90" s="26">
        <v>100</v>
      </c>
      <c r="C90" s="26">
        <f>IF(表5_710111213141516[[#This Row],[姓]]=表5_710111213141516[[#This Row],[男名]]=表5_710111213141516[[#This Row],[女名]]="","",10000000+ROW()-4)</f>
        <v>10000086</v>
      </c>
      <c r="D90" s="32" t="s">
        <v>507</v>
      </c>
      <c r="E90" s="32"/>
      <c r="F90" s="32"/>
      <c r="G90" s="8"/>
    </row>
    <row r="91" spans="1:7" x14ac:dyDescent="0.35">
      <c r="A91" s="8"/>
      <c r="B91" s="26">
        <v>100</v>
      </c>
      <c r="C91" s="26">
        <f>IF(表5_710111213141516[[#This Row],[姓]]=表5_710111213141516[[#This Row],[男名]]=表5_710111213141516[[#This Row],[女名]]="","",10000000+ROW()-4)</f>
        <v>10000087</v>
      </c>
      <c r="D91" s="32" t="s">
        <v>508</v>
      </c>
      <c r="E91" s="32"/>
      <c r="F91" s="32"/>
      <c r="G91" s="8"/>
    </row>
    <row r="92" spans="1:7" x14ac:dyDescent="0.35">
      <c r="A92" s="8"/>
      <c r="B92" s="26">
        <v>100</v>
      </c>
      <c r="C92" s="26">
        <f>IF(表5_710111213141516[[#This Row],[姓]]=表5_710111213141516[[#This Row],[男名]]=表5_710111213141516[[#This Row],[女名]]="","",10000000+ROW()-4)</f>
        <v>10000088</v>
      </c>
      <c r="D92" s="32" t="s">
        <v>509</v>
      </c>
      <c r="E92" s="32"/>
      <c r="F92" s="32"/>
      <c r="G92" s="8"/>
    </row>
    <row r="93" spans="1:7" x14ac:dyDescent="0.35">
      <c r="A93" s="8"/>
      <c r="B93" s="26">
        <v>100</v>
      </c>
      <c r="C93" s="26">
        <f>IF(表5_710111213141516[[#This Row],[姓]]=表5_710111213141516[[#This Row],[男名]]=表5_710111213141516[[#This Row],[女名]]="","",10000000+ROW()-4)</f>
        <v>10000089</v>
      </c>
      <c r="D93" s="32" t="s">
        <v>510</v>
      </c>
      <c r="E93" s="32"/>
      <c r="F93" s="32"/>
      <c r="G93" s="8"/>
    </row>
    <row r="94" spans="1:7" x14ac:dyDescent="0.35">
      <c r="A94" s="8"/>
      <c r="B94" s="26">
        <v>100</v>
      </c>
      <c r="C94" s="26">
        <f>IF(表5_710111213141516[[#This Row],[姓]]=表5_710111213141516[[#This Row],[男名]]=表5_710111213141516[[#This Row],[女名]]="","",10000000+ROW()-4)</f>
        <v>10000090</v>
      </c>
      <c r="D94" s="32" t="s">
        <v>511</v>
      </c>
      <c r="E94" s="32"/>
      <c r="F94" s="32"/>
      <c r="G94" s="8"/>
    </row>
    <row r="95" spans="1:7" x14ac:dyDescent="0.35">
      <c r="A95" s="8"/>
      <c r="B95" s="26">
        <v>100</v>
      </c>
      <c r="C95" s="26">
        <f>IF(表5_710111213141516[[#This Row],[姓]]=表5_710111213141516[[#This Row],[男名]]=表5_710111213141516[[#This Row],[女名]]="","",10000000+ROW()-4)</f>
        <v>10000091</v>
      </c>
      <c r="D95" s="32" t="s">
        <v>512</v>
      </c>
      <c r="E95" s="32"/>
      <c r="F95" s="32"/>
      <c r="G95" s="8"/>
    </row>
    <row r="96" spans="1:7" x14ac:dyDescent="0.35">
      <c r="A96" s="8"/>
      <c r="B96" s="26">
        <v>100</v>
      </c>
      <c r="C96" s="26">
        <f>IF(表5_710111213141516[[#This Row],[姓]]=表5_710111213141516[[#This Row],[男名]]=表5_710111213141516[[#This Row],[女名]]="","",10000000+ROW()-4)</f>
        <v>10000092</v>
      </c>
      <c r="D96" s="32" t="s">
        <v>513</v>
      </c>
      <c r="E96" s="32"/>
      <c r="F96" s="32"/>
      <c r="G96" s="8"/>
    </row>
    <row r="97" spans="1:7" x14ac:dyDescent="0.35">
      <c r="A97" s="8"/>
      <c r="B97" s="26">
        <v>100</v>
      </c>
      <c r="C97" s="26">
        <f>IF(表5_710111213141516[[#This Row],[姓]]=表5_710111213141516[[#This Row],[男名]]=表5_710111213141516[[#This Row],[女名]]="","",10000000+ROW()-4)</f>
        <v>10000093</v>
      </c>
      <c r="D97" s="32" t="s">
        <v>514</v>
      </c>
      <c r="E97" s="32"/>
      <c r="F97" s="32"/>
      <c r="G97" s="8"/>
    </row>
    <row r="98" spans="1:7" x14ac:dyDescent="0.35">
      <c r="A98" s="8"/>
      <c r="B98" s="26">
        <v>100</v>
      </c>
      <c r="C98" s="26">
        <f>IF(表5_710111213141516[[#This Row],[姓]]=表5_710111213141516[[#This Row],[男名]]=表5_710111213141516[[#This Row],[女名]]="","",10000000+ROW()-4)</f>
        <v>10000094</v>
      </c>
      <c r="D98" s="32" t="s">
        <v>515</v>
      </c>
      <c r="E98" s="32"/>
      <c r="F98" s="32"/>
      <c r="G98" s="8"/>
    </row>
    <row r="99" spans="1:7" x14ac:dyDescent="0.35">
      <c r="A99" s="8"/>
      <c r="B99" s="26">
        <v>100</v>
      </c>
      <c r="C99" s="26">
        <f>IF(表5_710111213141516[[#This Row],[姓]]=表5_710111213141516[[#This Row],[男名]]=表5_710111213141516[[#This Row],[女名]]="","",10000000+ROW()-4)</f>
        <v>10000095</v>
      </c>
      <c r="D99" s="32" t="s">
        <v>516</v>
      </c>
      <c r="E99" s="32"/>
      <c r="F99" s="32"/>
      <c r="G99" s="8"/>
    </row>
    <row r="100" spans="1:7" x14ac:dyDescent="0.35">
      <c r="A100" s="8"/>
      <c r="B100" s="26">
        <v>100</v>
      </c>
      <c r="C100" s="26">
        <f>IF(表5_710111213141516[[#This Row],[姓]]=表5_710111213141516[[#This Row],[男名]]=表5_710111213141516[[#This Row],[女名]]="","",10000000+ROW()-4)</f>
        <v>10000096</v>
      </c>
      <c r="D100" s="32" t="s">
        <v>517</v>
      </c>
      <c r="E100" s="32"/>
      <c r="F100" s="32"/>
      <c r="G100" s="8"/>
    </row>
    <row r="101" spans="1:7" x14ac:dyDescent="0.35">
      <c r="A101" s="8"/>
      <c r="B101" s="26">
        <v>100</v>
      </c>
      <c r="C101" s="26">
        <f>IF(表5_710111213141516[[#This Row],[姓]]=表5_710111213141516[[#This Row],[男名]]=表5_710111213141516[[#This Row],[女名]]="","",10000000+ROW()-4)</f>
        <v>10000097</v>
      </c>
      <c r="D101" s="32" t="s">
        <v>518</v>
      </c>
      <c r="E101" s="32"/>
      <c r="F101" s="32"/>
      <c r="G101" s="8"/>
    </row>
    <row r="102" spans="1:7" x14ac:dyDescent="0.35">
      <c r="A102" s="8"/>
      <c r="B102" s="26">
        <v>100</v>
      </c>
      <c r="C102" s="26">
        <f>IF(表5_710111213141516[[#This Row],[姓]]=表5_710111213141516[[#This Row],[男名]]=表5_710111213141516[[#This Row],[女名]]="","",10000000+ROW()-4)</f>
        <v>10000098</v>
      </c>
      <c r="D102" s="32" t="s">
        <v>519</v>
      </c>
      <c r="E102" s="32"/>
      <c r="F102" s="32"/>
      <c r="G102" s="8"/>
    </row>
    <row r="103" spans="1:7" x14ac:dyDescent="0.35">
      <c r="A103" s="8"/>
      <c r="B103" s="26">
        <v>100</v>
      </c>
      <c r="C103" s="26">
        <f>IF(表5_710111213141516[[#This Row],[姓]]=表5_710111213141516[[#This Row],[男名]]=表5_710111213141516[[#This Row],[女名]]="","",10000000+ROW()-4)</f>
        <v>10000099</v>
      </c>
      <c r="D103" s="32" t="s">
        <v>520</v>
      </c>
      <c r="E103" s="32"/>
      <c r="F103" s="32"/>
      <c r="G103" s="8"/>
    </row>
    <row r="104" spans="1:7" x14ac:dyDescent="0.35">
      <c r="A104" s="8"/>
      <c r="B104" s="26">
        <v>100</v>
      </c>
      <c r="C104" s="26">
        <f>IF(表5_710111213141516[[#This Row],[姓]]=表5_710111213141516[[#This Row],[男名]]=表5_710111213141516[[#This Row],[女名]]="","",10000000+ROW()-4)</f>
        <v>10000100</v>
      </c>
      <c r="D104" s="32" t="s">
        <v>521</v>
      </c>
      <c r="E104" s="32"/>
      <c r="F104" s="32"/>
      <c r="G104" s="8"/>
    </row>
    <row r="105" spans="1:7" x14ac:dyDescent="0.35">
      <c r="A105" s="8"/>
      <c r="B105" s="26">
        <v>100</v>
      </c>
      <c r="C105" s="26">
        <f>IF(表5_710111213141516[[#This Row],[姓]]=表5_710111213141516[[#This Row],[男名]]=表5_710111213141516[[#This Row],[女名]]="","",10000000+ROW()-4)</f>
        <v>10000101</v>
      </c>
      <c r="D105" s="32" t="s">
        <v>522</v>
      </c>
      <c r="E105" s="32"/>
      <c r="F105" s="32"/>
      <c r="G105" s="8"/>
    </row>
    <row r="106" spans="1:7" x14ac:dyDescent="0.35">
      <c r="A106" s="8"/>
      <c r="B106" s="26">
        <v>100</v>
      </c>
      <c r="C106" s="26">
        <f>IF(表5_710111213141516[[#This Row],[姓]]=表5_710111213141516[[#This Row],[男名]]=表5_710111213141516[[#This Row],[女名]]="","",10000000+ROW()-4)</f>
        <v>10000102</v>
      </c>
      <c r="D106" s="32" t="s">
        <v>523</v>
      </c>
      <c r="E106" s="32"/>
      <c r="F106" s="32"/>
      <c r="G106" s="8"/>
    </row>
    <row r="107" spans="1:7" x14ac:dyDescent="0.35">
      <c r="A107" s="8"/>
      <c r="B107" s="26">
        <v>100</v>
      </c>
      <c r="C107" s="26">
        <f>IF(表5_710111213141516[[#This Row],[姓]]=表5_710111213141516[[#This Row],[男名]]=表5_710111213141516[[#This Row],[女名]]="","",10000000+ROW()-4)</f>
        <v>10000103</v>
      </c>
      <c r="D107" s="32" t="s">
        <v>524</v>
      </c>
      <c r="E107" s="32"/>
      <c r="F107" s="32"/>
      <c r="G107" s="8"/>
    </row>
    <row r="108" spans="1:7" x14ac:dyDescent="0.35">
      <c r="A108" s="8"/>
      <c r="B108" s="26">
        <v>100</v>
      </c>
      <c r="C108" s="26">
        <f>IF(表5_710111213141516[[#This Row],[姓]]=表5_710111213141516[[#This Row],[男名]]=表5_710111213141516[[#This Row],[女名]]="","",10000000+ROW()-4)</f>
        <v>10000104</v>
      </c>
      <c r="D108" s="32" t="s">
        <v>525</v>
      </c>
      <c r="E108" s="32"/>
      <c r="F108" s="32"/>
      <c r="G108" s="8"/>
    </row>
    <row r="109" spans="1:7" x14ac:dyDescent="0.35">
      <c r="A109" s="8"/>
      <c r="B109" s="26">
        <v>100</v>
      </c>
      <c r="C109" s="26">
        <f>IF(表5_710111213141516[[#This Row],[姓]]=表5_710111213141516[[#This Row],[男名]]=表5_710111213141516[[#This Row],[女名]]="","",10000000+ROW()-4)</f>
        <v>10000105</v>
      </c>
      <c r="D109" s="32" t="s">
        <v>526</v>
      </c>
      <c r="E109" s="32"/>
      <c r="F109" s="32"/>
      <c r="G109" s="8"/>
    </row>
    <row r="110" spans="1:7" x14ac:dyDescent="0.35">
      <c r="A110" s="8"/>
      <c r="B110" s="26">
        <v>100</v>
      </c>
      <c r="C110" s="26">
        <f>IF(表5_710111213141516[[#This Row],[姓]]=表5_710111213141516[[#This Row],[男名]]=表5_710111213141516[[#This Row],[女名]]="","",10000000+ROW()-4)</f>
        <v>10000106</v>
      </c>
      <c r="D110" s="32" t="s">
        <v>527</v>
      </c>
      <c r="E110" s="32"/>
      <c r="F110" s="32"/>
      <c r="G110" s="8"/>
    </row>
    <row r="111" spans="1:7" x14ac:dyDescent="0.35">
      <c r="A111" s="8"/>
      <c r="B111" s="26">
        <v>100</v>
      </c>
      <c r="C111" s="26">
        <f>IF(表5_710111213141516[[#This Row],[姓]]=表5_710111213141516[[#This Row],[男名]]=表5_710111213141516[[#This Row],[女名]]="","",10000000+ROW()-4)</f>
        <v>10000107</v>
      </c>
      <c r="D111" s="32" t="s">
        <v>528</v>
      </c>
      <c r="E111" s="32"/>
      <c r="F111" s="32"/>
      <c r="G111" s="8"/>
    </row>
    <row r="112" spans="1:7" x14ac:dyDescent="0.35">
      <c r="A112" s="8"/>
      <c r="B112" s="26">
        <v>100</v>
      </c>
      <c r="C112" s="26">
        <f>IF(表5_710111213141516[[#This Row],[姓]]=表5_710111213141516[[#This Row],[男名]]=表5_710111213141516[[#This Row],[女名]]="","",10000000+ROW()-4)</f>
        <v>10000108</v>
      </c>
      <c r="D112" s="32" t="s">
        <v>529</v>
      </c>
      <c r="E112" s="32"/>
      <c r="F112" s="32"/>
      <c r="G112" s="8"/>
    </row>
    <row r="113" spans="1:7" x14ac:dyDescent="0.35">
      <c r="A113" s="8"/>
      <c r="B113" s="26">
        <v>100</v>
      </c>
      <c r="C113" s="26">
        <f>IF(表5_710111213141516[[#This Row],[姓]]=表5_710111213141516[[#This Row],[男名]]=表5_710111213141516[[#This Row],[女名]]="","",10000000+ROW()-4)</f>
        <v>10000109</v>
      </c>
      <c r="D113" s="32" t="s">
        <v>530</v>
      </c>
      <c r="E113" s="32"/>
      <c r="F113" s="32"/>
      <c r="G113" s="8"/>
    </row>
    <row r="114" spans="1:7" x14ac:dyDescent="0.35">
      <c r="A114" s="8"/>
      <c r="B114" s="26">
        <v>100</v>
      </c>
      <c r="C114" s="26">
        <f>IF(表5_710111213141516[[#This Row],[姓]]=表5_710111213141516[[#This Row],[男名]]=表5_710111213141516[[#This Row],[女名]]="","",10000000+ROW()-4)</f>
        <v>10000110</v>
      </c>
      <c r="D114" s="32" t="s">
        <v>531</v>
      </c>
      <c r="E114" s="32"/>
      <c r="F114" s="32"/>
      <c r="G114" s="8"/>
    </row>
    <row r="115" spans="1:7" x14ac:dyDescent="0.35">
      <c r="A115" s="8"/>
      <c r="B115" s="26">
        <v>100</v>
      </c>
      <c r="C115" s="26">
        <f>IF(表5_710111213141516[[#This Row],[姓]]=表5_710111213141516[[#This Row],[男名]]=表5_710111213141516[[#This Row],[女名]]="","",10000000+ROW()-4)</f>
        <v>10000111</v>
      </c>
      <c r="D115" s="32" t="s">
        <v>532</v>
      </c>
      <c r="E115" s="32"/>
      <c r="F115" s="32"/>
      <c r="G115" s="8"/>
    </row>
    <row r="116" spans="1:7" x14ac:dyDescent="0.35">
      <c r="A116" s="8"/>
      <c r="B116" s="26">
        <v>100</v>
      </c>
      <c r="C116" s="26">
        <f>IF(表5_710111213141516[[#This Row],[姓]]=表5_710111213141516[[#This Row],[男名]]=表5_710111213141516[[#This Row],[女名]]="","",10000000+ROW()-4)</f>
        <v>10000112</v>
      </c>
      <c r="D116" s="32" t="s">
        <v>533</v>
      </c>
      <c r="E116" s="32"/>
      <c r="F116" s="32"/>
      <c r="G116" s="8"/>
    </row>
    <row r="117" spans="1:7" x14ac:dyDescent="0.35">
      <c r="A117" s="8"/>
      <c r="B117" s="26">
        <v>100</v>
      </c>
      <c r="C117" s="26">
        <f>IF(表5_710111213141516[[#This Row],[姓]]=表5_710111213141516[[#This Row],[男名]]=表5_710111213141516[[#This Row],[女名]]="","",10000000+ROW()-4)</f>
        <v>10000113</v>
      </c>
      <c r="D117" s="32" t="s">
        <v>534</v>
      </c>
      <c r="E117" s="32"/>
      <c r="F117" s="32"/>
      <c r="G117" s="8"/>
    </row>
    <row r="118" spans="1:7" x14ac:dyDescent="0.35">
      <c r="A118" s="8"/>
      <c r="B118" s="26">
        <v>100</v>
      </c>
      <c r="C118" s="26">
        <f>IF(表5_710111213141516[[#This Row],[姓]]=表5_710111213141516[[#This Row],[男名]]=表5_710111213141516[[#This Row],[女名]]="","",10000000+ROW()-4)</f>
        <v>10000114</v>
      </c>
      <c r="D118" s="32" t="s">
        <v>535</v>
      </c>
      <c r="E118" s="32"/>
      <c r="F118" s="32"/>
      <c r="G118" s="8"/>
    </row>
    <row r="119" spans="1:7" x14ac:dyDescent="0.35">
      <c r="A119" s="8"/>
      <c r="B119" s="26">
        <v>100</v>
      </c>
      <c r="C119" s="26">
        <f>IF(表5_710111213141516[[#This Row],[姓]]=表5_710111213141516[[#This Row],[男名]]=表5_710111213141516[[#This Row],[女名]]="","",10000000+ROW()-4)</f>
        <v>10000115</v>
      </c>
      <c r="D119" s="32" t="s">
        <v>536</v>
      </c>
      <c r="E119" s="32"/>
      <c r="F119" s="32"/>
      <c r="G119" s="8"/>
    </row>
    <row r="120" spans="1:7" x14ac:dyDescent="0.35">
      <c r="A120" s="8"/>
      <c r="B120" s="26">
        <v>100</v>
      </c>
      <c r="C120" s="26">
        <f>IF(表5_710111213141516[[#This Row],[姓]]=表5_710111213141516[[#This Row],[男名]]=表5_710111213141516[[#This Row],[女名]]="","",10000000+ROW()-4)</f>
        <v>10000116</v>
      </c>
      <c r="D120" s="32" t="s">
        <v>537</v>
      </c>
      <c r="E120" s="32"/>
      <c r="F120" s="32"/>
      <c r="G120" s="8"/>
    </row>
    <row r="121" spans="1:7" x14ac:dyDescent="0.35">
      <c r="A121" s="8"/>
      <c r="B121" s="26">
        <v>100</v>
      </c>
      <c r="C121" s="26">
        <f>IF(表5_710111213141516[[#This Row],[姓]]=表5_710111213141516[[#This Row],[男名]]=表5_710111213141516[[#This Row],[女名]]="","",10000000+ROW()-4)</f>
        <v>10000117</v>
      </c>
      <c r="D121" s="32" t="s">
        <v>538</v>
      </c>
      <c r="E121" s="32"/>
      <c r="F121" s="32"/>
      <c r="G121" s="8"/>
    </row>
    <row r="122" spans="1:7" x14ac:dyDescent="0.35">
      <c r="A122" s="8"/>
      <c r="B122" s="26">
        <v>100</v>
      </c>
      <c r="C122" s="26">
        <f>IF(表5_710111213141516[[#This Row],[姓]]=表5_710111213141516[[#This Row],[男名]]=表5_710111213141516[[#This Row],[女名]]="","",10000000+ROW()-4)</f>
        <v>10000118</v>
      </c>
      <c r="D122" s="32" t="s">
        <v>539</v>
      </c>
      <c r="E122" s="32"/>
      <c r="F122" s="32"/>
      <c r="G122" s="8"/>
    </row>
    <row r="123" spans="1:7" x14ac:dyDescent="0.35">
      <c r="A123" s="8"/>
      <c r="B123" s="26">
        <v>100</v>
      </c>
      <c r="C123" s="26">
        <f>IF(表5_710111213141516[[#This Row],[姓]]=表5_710111213141516[[#This Row],[男名]]=表5_710111213141516[[#This Row],[女名]]="","",10000000+ROW()-4)</f>
        <v>10000119</v>
      </c>
      <c r="D123" s="32" t="s">
        <v>540</v>
      </c>
      <c r="E123" s="32"/>
      <c r="F123" s="32"/>
      <c r="G123" s="8"/>
    </row>
    <row r="124" spans="1:7" x14ac:dyDescent="0.35">
      <c r="A124" s="8"/>
      <c r="B124" s="26">
        <v>100</v>
      </c>
      <c r="C124" s="26">
        <f>IF(表5_710111213141516[[#This Row],[姓]]=表5_710111213141516[[#This Row],[男名]]=表5_710111213141516[[#This Row],[女名]]="","",10000000+ROW()-4)</f>
        <v>10000120</v>
      </c>
      <c r="D124" s="32" t="s">
        <v>541</v>
      </c>
      <c r="E124" s="32"/>
      <c r="F124" s="32"/>
      <c r="G124" s="8"/>
    </row>
    <row r="125" spans="1:7" x14ac:dyDescent="0.35">
      <c r="A125" s="8"/>
      <c r="B125" s="26">
        <v>100</v>
      </c>
      <c r="C125" s="26">
        <f>IF(表5_710111213141516[[#This Row],[姓]]=表5_710111213141516[[#This Row],[男名]]=表5_710111213141516[[#This Row],[女名]]="","",10000000+ROW()-4)</f>
        <v>10000121</v>
      </c>
      <c r="D125" s="32" t="s">
        <v>542</v>
      </c>
      <c r="E125" s="32"/>
      <c r="F125" s="32"/>
      <c r="G125" s="8"/>
    </row>
    <row r="126" spans="1:7" x14ac:dyDescent="0.35">
      <c r="A126" s="8"/>
      <c r="B126" s="26">
        <v>100</v>
      </c>
      <c r="C126" s="26">
        <f>IF(表5_710111213141516[[#This Row],[姓]]=表5_710111213141516[[#This Row],[男名]]=表5_710111213141516[[#This Row],[女名]]="","",10000000+ROW()-4)</f>
        <v>10000122</v>
      </c>
      <c r="D126" s="32" t="s">
        <v>543</v>
      </c>
      <c r="E126" s="32"/>
      <c r="F126" s="32"/>
      <c r="G126" s="8"/>
    </row>
    <row r="127" spans="1:7" x14ac:dyDescent="0.35">
      <c r="A127" s="8"/>
      <c r="B127" s="26">
        <v>100</v>
      </c>
      <c r="C127" s="26">
        <f>IF(表5_710111213141516[[#This Row],[姓]]=表5_710111213141516[[#This Row],[男名]]=表5_710111213141516[[#This Row],[女名]]="","",10000000+ROW()-4)</f>
        <v>10000123</v>
      </c>
      <c r="D127" s="32" t="s">
        <v>544</v>
      </c>
      <c r="E127" s="32"/>
      <c r="F127" s="32"/>
      <c r="G127" s="8"/>
    </row>
    <row r="128" spans="1:7" x14ac:dyDescent="0.35">
      <c r="A128" s="8"/>
      <c r="B128" s="26">
        <v>100</v>
      </c>
      <c r="C128" s="26">
        <f>IF(表5_710111213141516[[#This Row],[姓]]=表5_710111213141516[[#This Row],[男名]]=表5_710111213141516[[#This Row],[女名]]="","",10000000+ROW()-4)</f>
        <v>10000124</v>
      </c>
      <c r="D128" s="32" t="s">
        <v>545</v>
      </c>
      <c r="E128" s="32"/>
      <c r="F128" s="32"/>
      <c r="G128" s="8"/>
    </row>
    <row r="129" spans="1:7" x14ac:dyDescent="0.35">
      <c r="A129" s="8"/>
      <c r="B129" s="26">
        <v>100</v>
      </c>
      <c r="C129" s="26">
        <f>IF(表5_710111213141516[[#This Row],[姓]]=表5_710111213141516[[#This Row],[男名]]=表5_710111213141516[[#This Row],[女名]]="","",10000000+ROW()-4)</f>
        <v>10000125</v>
      </c>
      <c r="D129" s="32" t="s">
        <v>546</v>
      </c>
      <c r="E129" s="32"/>
      <c r="F129" s="32"/>
      <c r="G129" s="8"/>
    </row>
    <row r="130" spans="1:7" x14ac:dyDescent="0.35">
      <c r="A130" s="8"/>
      <c r="B130" s="26">
        <v>100</v>
      </c>
      <c r="C130" s="26">
        <f>IF(表5_710111213141516[[#This Row],[姓]]=表5_710111213141516[[#This Row],[男名]]=表5_710111213141516[[#This Row],[女名]]="","",10000000+ROW()-4)</f>
        <v>10000126</v>
      </c>
      <c r="D130" s="32" t="s">
        <v>547</v>
      </c>
      <c r="E130" s="32"/>
      <c r="F130" s="32"/>
      <c r="G130" s="8"/>
    </row>
    <row r="131" spans="1:7" x14ac:dyDescent="0.35">
      <c r="A131" s="8"/>
      <c r="B131" s="26">
        <v>100</v>
      </c>
      <c r="C131" s="26">
        <f>IF(表5_710111213141516[[#This Row],[姓]]=表5_710111213141516[[#This Row],[男名]]=表5_710111213141516[[#This Row],[女名]]="","",10000000+ROW()-4)</f>
        <v>10000127</v>
      </c>
      <c r="D131" s="32" t="s">
        <v>548</v>
      </c>
      <c r="E131" s="32"/>
      <c r="F131" s="32"/>
      <c r="G131" s="8"/>
    </row>
    <row r="132" spans="1:7" x14ac:dyDescent="0.35">
      <c r="A132" s="8"/>
      <c r="B132" s="26">
        <v>100</v>
      </c>
      <c r="C132" s="26">
        <f>IF(表5_710111213141516[[#This Row],[姓]]=表5_710111213141516[[#This Row],[男名]]=表5_710111213141516[[#This Row],[女名]]="","",10000000+ROW()-4)</f>
        <v>10000128</v>
      </c>
      <c r="D132" s="32" t="s">
        <v>549</v>
      </c>
      <c r="E132" s="32"/>
      <c r="F132" s="32"/>
      <c r="G132" s="8"/>
    </row>
    <row r="133" spans="1:7" x14ac:dyDescent="0.35">
      <c r="A133" s="8"/>
      <c r="B133" s="26">
        <v>100</v>
      </c>
      <c r="C133" s="26">
        <f>IF(表5_710111213141516[[#This Row],[姓]]=表5_710111213141516[[#This Row],[男名]]=表5_710111213141516[[#This Row],[女名]]="","",10000000+ROW()-4)</f>
        <v>10000129</v>
      </c>
      <c r="D133" s="32" t="s">
        <v>550</v>
      </c>
      <c r="E133" s="32"/>
      <c r="F133" s="32"/>
      <c r="G133" s="8"/>
    </row>
    <row r="134" spans="1:7" x14ac:dyDescent="0.35">
      <c r="A134" s="8"/>
      <c r="B134" s="26">
        <v>100</v>
      </c>
      <c r="C134" s="26">
        <f>IF(表5_710111213141516[[#This Row],[姓]]=表5_710111213141516[[#This Row],[男名]]=表5_710111213141516[[#This Row],[女名]]="","",10000000+ROW()-4)</f>
        <v>10000130</v>
      </c>
      <c r="D134" s="32" t="s">
        <v>551</v>
      </c>
      <c r="E134" s="32"/>
      <c r="F134" s="32"/>
      <c r="G134" s="8"/>
    </row>
    <row r="135" spans="1:7" x14ac:dyDescent="0.35">
      <c r="A135" s="8"/>
      <c r="B135" s="26">
        <v>100</v>
      </c>
      <c r="C135" s="26">
        <f>IF(表5_710111213141516[[#This Row],[姓]]=表5_710111213141516[[#This Row],[男名]]=表5_710111213141516[[#This Row],[女名]]="","",10000000+ROW()-4)</f>
        <v>10000131</v>
      </c>
      <c r="D135" s="32" t="s">
        <v>552</v>
      </c>
      <c r="E135" s="32"/>
      <c r="F135" s="32"/>
      <c r="G135" s="8"/>
    </row>
    <row r="136" spans="1:7" x14ac:dyDescent="0.35">
      <c r="A136" s="8"/>
      <c r="B136" s="26">
        <v>100</v>
      </c>
      <c r="C136" s="26">
        <f>IF(表5_710111213141516[[#This Row],[姓]]=表5_710111213141516[[#This Row],[男名]]=表5_710111213141516[[#This Row],[女名]]="","",10000000+ROW()-4)</f>
        <v>10000132</v>
      </c>
      <c r="D136" s="32" t="s">
        <v>553</v>
      </c>
      <c r="E136" s="32"/>
      <c r="F136" s="32"/>
      <c r="G136" s="8"/>
    </row>
    <row r="137" spans="1:7" x14ac:dyDescent="0.35">
      <c r="A137" s="8"/>
      <c r="B137" s="26">
        <v>100</v>
      </c>
      <c r="C137" s="26">
        <f>IF(表5_710111213141516[[#This Row],[姓]]=表5_710111213141516[[#This Row],[男名]]=表5_710111213141516[[#This Row],[女名]]="","",10000000+ROW()-4)</f>
        <v>10000133</v>
      </c>
      <c r="D137" s="32" t="s">
        <v>554</v>
      </c>
      <c r="E137" s="32"/>
      <c r="F137" s="32"/>
      <c r="G137" s="8"/>
    </row>
    <row r="138" spans="1:7" x14ac:dyDescent="0.35">
      <c r="A138" s="8"/>
      <c r="B138" s="26">
        <v>100</v>
      </c>
      <c r="C138" s="26">
        <f>IF(表5_710111213141516[[#This Row],[姓]]=表5_710111213141516[[#This Row],[男名]]=表5_710111213141516[[#This Row],[女名]]="","",10000000+ROW()-4)</f>
        <v>10000134</v>
      </c>
      <c r="D138" s="32" t="s">
        <v>555</v>
      </c>
      <c r="E138" s="32"/>
      <c r="F138" s="32"/>
      <c r="G138" s="8"/>
    </row>
    <row r="139" spans="1:7" x14ac:dyDescent="0.35">
      <c r="A139" s="8"/>
      <c r="B139" s="26">
        <v>100</v>
      </c>
      <c r="C139" s="26">
        <f>IF(表5_710111213141516[[#This Row],[姓]]=表5_710111213141516[[#This Row],[男名]]=表5_710111213141516[[#This Row],[女名]]="","",10000000+ROW()-4)</f>
        <v>10000135</v>
      </c>
      <c r="D139" s="32" t="s">
        <v>556</v>
      </c>
      <c r="E139" s="32"/>
      <c r="F139" s="32"/>
      <c r="G139" s="8"/>
    </row>
    <row r="140" spans="1:7" x14ac:dyDescent="0.35">
      <c r="A140" s="8"/>
      <c r="B140" s="26">
        <v>100</v>
      </c>
      <c r="C140" s="26">
        <f>IF(表5_710111213141516[[#This Row],[姓]]=表5_710111213141516[[#This Row],[男名]]=表5_710111213141516[[#This Row],[女名]]="","",10000000+ROW()-4)</f>
        <v>10000136</v>
      </c>
      <c r="D140" s="32" t="s">
        <v>557</v>
      </c>
      <c r="E140" s="32"/>
      <c r="F140" s="32"/>
      <c r="G140" s="8"/>
    </row>
    <row r="141" spans="1:7" x14ac:dyDescent="0.35">
      <c r="A141" s="8"/>
      <c r="B141" s="26">
        <v>100</v>
      </c>
      <c r="C141" s="26">
        <f>IF(表5_710111213141516[[#This Row],[姓]]=表5_710111213141516[[#This Row],[男名]]=表5_710111213141516[[#This Row],[女名]]="","",10000000+ROW()-4)</f>
        <v>10000137</v>
      </c>
      <c r="D141" s="32" t="s">
        <v>558</v>
      </c>
      <c r="E141" s="32"/>
      <c r="F141" s="32"/>
      <c r="G141" s="8"/>
    </row>
    <row r="142" spans="1:7" x14ac:dyDescent="0.35">
      <c r="A142" s="8"/>
      <c r="B142" s="26">
        <v>100</v>
      </c>
      <c r="C142" s="26">
        <f>IF(表5_710111213141516[[#This Row],[姓]]=表5_710111213141516[[#This Row],[男名]]=表5_710111213141516[[#This Row],[女名]]="","",10000000+ROW()-4)</f>
        <v>10000138</v>
      </c>
      <c r="D142" s="32" t="s">
        <v>559</v>
      </c>
      <c r="E142" s="32"/>
      <c r="F142" s="32"/>
      <c r="G142" s="8"/>
    </row>
    <row r="143" spans="1:7" x14ac:dyDescent="0.35">
      <c r="A143" s="8"/>
      <c r="B143" s="26">
        <v>100</v>
      </c>
      <c r="C143" s="26">
        <f>IF(表5_710111213141516[[#This Row],[姓]]=表5_710111213141516[[#This Row],[男名]]=表5_710111213141516[[#This Row],[女名]]="","",10000000+ROW()-4)</f>
        <v>10000139</v>
      </c>
      <c r="D143" s="32" t="s">
        <v>560</v>
      </c>
      <c r="E143" s="32"/>
      <c r="F143" s="32"/>
      <c r="G143" s="8"/>
    </row>
    <row r="144" spans="1:7" x14ac:dyDescent="0.35">
      <c r="A144" s="8"/>
      <c r="B144" s="26">
        <v>100</v>
      </c>
      <c r="C144" s="26">
        <f>IF(表5_710111213141516[[#This Row],[姓]]=表5_710111213141516[[#This Row],[男名]]=表5_710111213141516[[#This Row],[女名]]="","",10000000+ROW()-4)</f>
        <v>10000140</v>
      </c>
      <c r="D144" s="32" t="s">
        <v>561</v>
      </c>
      <c r="E144" s="32"/>
      <c r="F144" s="32"/>
      <c r="G144" s="8"/>
    </row>
    <row r="145" spans="1:7" x14ac:dyDescent="0.35">
      <c r="A145" s="8"/>
      <c r="B145" s="26">
        <v>100</v>
      </c>
      <c r="C145" s="26">
        <f>IF(表5_710111213141516[[#This Row],[姓]]=表5_710111213141516[[#This Row],[男名]]=表5_710111213141516[[#This Row],[女名]]="","",10000000+ROW()-4)</f>
        <v>10000141</v>
      </c>
      <c r="D145" s="32" t="s">
        <v>562</v>
      </c>
      <c r="E145" s="32"/>
      <c r="F145" s="32"/>
      <c r="G145" s="8"/>
    </row>
    <row r="146" spans="1:7" x14ac:dyDescent="0.35">
      <c r="A146" s="8"/>
      <c r="B146" s="26">
        <v>100</v>
      </c>
      <c r="C146" s="26">
        <f>IF(表5_710111213141516[[#This Row],[姓]]=表5_710111213141516[[#This Row],[男名]]=表5_710111213141516[[#This Row],[女名]]="","",10000000+ROW()-4)</f>
        <v>10000142</v>
      </c>
      <c r="D146" s="32" t="s">
        <v>563</v>
      </c>
      <c r="E146" s="32"/>
      <c r="F146" s="32"/>
      <c r="G146" s="8"/>
    </row>
    <row r="147" spans="1:7" x14ac:dyDescent="0.35">
      <c r="A147" s="8"/>
      <c r="B147" s="26">
        <v>100</v>
      </c>
      <c r="C147" s="26">
        <f>IF(表5_710111213141516[[#This Row],[姓]]=表5_710111213141516[[#This Row],[男名]]=表5_710111213141516[[#This Row],[女名]]="","",10000000+ROW()-4)</f>
        <v>10000143</v>
      </c>
      <c r="D147" s="32" t="s">
        <v>564</v>
      </c>
      <c r="E147" s="32"/>
      <c r="F147" s="32"/>
      <c r="G147" s="8"/>
    </row>
    <row r="148" spans="1:7" x14ac:dyDescent="0.35">
      <c r="A148" s="8"/>
      <c r="B148" s="26">
        <v>100</v>
      </c>
      <c r="C148" s="26">
        <f>IF(表5_710111213141516[[#This Row],[姓]]=表5_710111213141516[[#This Row],[男名]]=表5_710111213141516[[#This Row],[女名]]="","",10000000+ROW()-4)</f>
        <v>10000144</v>
      </c>
      <c r="D148" s="32" t="s">
        <v>565</v>
      </c>
      <c r="E148" s="32"/>
      <c r="F148" s="32"/>
      <c r="G148" s="8"/>
    </row>
    <row r="149" spans="1:7" x14ac:dyDescent="0.35">
      <c r="A149" s="8"/>
      <c r="B149" s="26">
        <v>100</v>
      </c>
      <c r="C149" s="26">
        <f>IF(表5_710111213141516[[#This Row],[姓]]=表5_710111213141516[[#This Row],[男名]]=表5_710111213141516[[#This Row],[女名]]="","",10000000+ROW()-4)</f>
        <v>10000145</v>
      </c>
      <c r="D149" s="32" t="s">
        <v>566</v>
      </c>
      <c r="E149" s="32"/>
      <c r="F149" s="32"/>
      <c r="G149" s="8"/>
    </row>
    <row r="150" spans="1:7" x14ac:dyDescent="0.35">
      <c r="A150" s="8"/>
      <c r="B150" s="26">
        <v>100</v>
      </c>
      <c r="C150" s="26">
        <f>IF(表5_710111213141516[[#This Row],[姓]]=表5_710111213141516[[#This Row],[男名]]=表5_710111213141516[[#This Row],[女名]]="","",10000000+ROW()-4)</f>
        <v>10000146</v>
      </c>
      <c r="D150" s="32" t="s">
        <v>567</v>
      </c>
      <c r="E150" s="32"/>
      <c r="F150" s="32"/>
      <c r="G150" s="8"/>
    </row>
    <row r="151" spans="1:7" x14ac:dyDescent="0.35">
      <c r="A151" s="8"/>
      <c r="B151" s="26">
        <v>100</v>
      </c>
      <c r="C151" s="26">
        <f>IF(表5_710111213141516[[#This Row],[姓]]=表5_710111213141516[[#This Row],[男名]]=表5_710111213141516[[#This Row],[女名]]="","",10000000+ROW()-4)</f>
        <v>10000147</v>
      </c>
      <c r="D151" s="32" t="s">
        <v>568</v>
      </c>
      <c r="E151" s="32"/>
      <c r="F151" s="32"/>
      <c r="G151" s="8"/>
    </row>
    <row r="152" spans="1:7" x14ac:dyDescent="0.35">
      <c r="A152" s="8"/>
      <c r="B152" s="26">
        <v>100</v>
      </c>
      <c r="C152" s="26">
        <f>IF(表5_710111213141516[[#This Row],[姓]]=表5_710111213141516[[#This Row],[男名]]=表5_710111213141516[[#This Row],[女名]]="","",10000000+ROW()-4)</f>
        <v>10000148</v>
      </c>
      <c r="D152" s="32" t="s">
        <v>569</v>
      </c>
      <c r="E152" s="32"/>
      <c r="F152" s="32"/>
      <c r="G152" s="8"/>
    </row>
    <row r="153" spans="1:7" x14ac:dyDescent="0.35">
      <c r="A153" s="8"/>
      <c r="B153" s="26">
        <v>100</v>
      </c>
      <c r="C153" s="26">
        <f>IF(表5_710111213141516[[#This Row],[姓]]=表5_710111213141516[[#This Row],[男名]]=表5_710111213141516[[#This Row],[女名]]="","",10000000+ROW()-4)</f>
        <v>10000149</v>
      </c>
      <c r="D153" s="32" t="s">
        <v>570</v>
      </c>
      <c r="E153" s="32"/>
      <c r="F153" s="32"/>
      <c r="G153" s="8"/>
    </row>
    <row r="154" spans="1:7" x14ac:dyDescent="0.35">
      <c r="A154" s="8"/>
      <c r="B154" s="26">
        <v>100</v>
      </c>
      <c r="C154" s="26">
        <f>IF(表5_710111213141516[[#This Row],[姓]]=表5_710111213141516[[#This Row],[男名]]=表5_710111213141516[[#This Row],[女名]]="","",10000000+ROW()-4)</f>
        <v>10000150</v>
      </c>
      <c r="D154" s="32" t="s">
        <v>571</v>
      </c>
      <c r="E154" s="32"/>
      <c r="F154" s="32"/>
      <c r="G154" s="8"/>
    </row>
    <row r="155" spans="1:7" x14ac:dyDescent="0.35">
      <c r="A155" s="8"/>
      <c r="B155" s="26">
        <v>100</v>
      </c>
      <c r="C155" s="26">
        <f>IF(表5_710111213141516[[#This Row],[姓]]=表5_710111213141516[[#This Row],[男名]]=表5_710111213141516[[#This Row],[女名]]="","",10000000+ROW()-4)</f>
        <v>10000151</v>
      </c>
      <c r="D155" s="32" t="s">
        <v>572</v>
      </c>
      <c r="E155" s="32"/>
      <c r="F155" s="32"/>
      <c r="G155" s="8"/>
    </row>
    <row r="156" spans="1:7" x14ac:dyDescent="0.35">
      <c r="A156" s="8"/>
      <c r="B156" s="26">
        <v>100</v>
      </c>
      <c r="C156" s="26">
        <f>IF(表5_710111213141516[[#This Row],[姓]]=表5_710111213141516[[#This Row],[男名]]=表5_710111213141516[[#This Row],[女名]]="","",10000000+ROW()-4)</f>
        <v>10000152</v>
      </c>
      <c r="D156" s="32" t="s">
        <v>573</v>
      </c>
      <c r="E156" s="32"/>
      <c r="F156" s="32"/>
      <c r="G156" s="8"/>
    </row>
    <row r="157" spans="1:7" x14ac:dyDescent="0.35">
      <c r="A157" s="8"/>
      <c r="B157" s="26">
        <v>100</v>
      </c>
      <c r="C157" s="26">
        <f>IF(表5_710111213141516[[#This Row],[姓]]=表5_710111213141516[[#This Row],[男名]]=表5_710111213141516[[#This Row],[女名]]="","",10000000+ROW()-4)</f>
        <v>10000153</v>
      </c>
      <c r="D157" s="32" t="s">
        <v>574</v>
      </c>
      <c r="E157" s="32"/>
      <c r="F157" s="32"/>
      <c r="G157" s="8"/>
    </row>
    <row r="158" spans="1:7" x14ac:dyDescent="0.35">
      <c r="A158" s="8"/>
      <c r="B158" s="26">
        <v>100</v>
      </c>
      <c r="C158" s="26">
        <f>IF(表5_710111213141516[[#This Row],[姓]]=表5_710111213141516[[#This Row],[男名]]=表5_710111213141516[[#This Row],[女名]]="","",10000000+ROW()-4)</f>
        <v>10000154</v>
      </c>
      <c r="D158" s="32" t="s">
        <v>575</v>
      </c>
      <c r="E158" s="32"/>
      <c r="F158" s="32"/>
      <c r="G158" s="8"/>
    </row>
    <row r="159" spans="1:7" x14ac:dyDescent="0.35">
      <c r="A159" s="8"/>
      <c r="B159" s="26">
        <v>100</v>
      </c>
      <c r="C159" s="26">
        <f>IF(表5_710111213141516[[#This Row],[姓]]=表5_710111213141516[[#This Row],[男名]]=表5_710111213141516[[#This Row],[女名]]="","",10000000+ROW()-4)</f>
        <v>10000155</v>
      </c>
      <c r="D159" s="32" t="s">
        <v>576</v>
      </c>
      <c r="E159" s="32"/>
      <c r="F159" s="32"/>
      <c r="G159" s="8"/>
    </row>
    <row r="160" spans="1:7" x14ac:dyDescent="0.35">
      <c r="A160" s="8"/>
      <c r="B160" s="26">
        <v>100</v>
      </c>
      <c r="C160" s="26">
        <f>IF(表5_710111213141516[[#This Row],[姓]]=表5_710111213141516[[#This Row],[男名]]=表5_710111213141516[[#This Row],[女名]]="","",10000000+ROW()-4)</f>
        <v>10000156</v>
      </c>
      <c r="D160" s="32" t="s">
        <v>577</v>
      </c>
      <c r="E160" s="32"/>
      <c r="F160" s="32"/>
      <c r="G160" s="8"/>
    </row>
    <row r="161" spans="1:7" x14ac:dyDescent="0.35">
      <c r="A161" s="8"/>
      <c r="B161" s="26">
        <v>100</v>
      </c>
      <c r="C161" s="26">
        <f>IF(表5_710111213141516[[#This Row],[姓]]=表5_710111213141516[[#This Row],[男名]]=表5_710111213141516[[#This Row],[女名]]="","",10000000+ROW()-4)</f>
        <v>10000157</v>
      </c>
      <c r="D161" s="32" t="s">
        <v>578</v>
      </c>
      <c r="E161" s="32"/>
      <c r="F161" s="32"/>
      <c r="G161" s="8"/>
    </row>
    <row r="162" spans="1:7" x14ac:dyDescent="0.35">
      <c r="A162" s="8"/>
      <c r="B162" s="26">
        <v>100</v>
      </c>
      <c r="C162" s="26">
        <f>IF(表5_710111213141516[[#This Row],[姓]]=表5_710111213141516[[#This Row],[男名]]=表5_710111213141516[[#This Row],[女名]]="","",10000000+ROW()-4)</f>
        <v>10000158</v>
      </c>
      <c r="D162" s="32" t="s">
        <v>579</v>
      </c>
      <c r="E162" s="32"/>
      <c r="F162" s="32"/>
      <c r="G162" s="8"/>
    </row>
    <row r="163" spans="1:7" x14ac:dyDescent="0.35">
      <c r="A163" s="8"/>
      <c r="B163" s="26">
        <v>100</v>
      </c>
      <c r="C163" s="26">
        <f>IF(表5_710111213141516[[#This Row],[姓]]=表5_710111213141516[[#This Row],[男名]]=表5_710111213141516[[#This Row],[女名]]="","",10000000+ROW()-4)</f>
        <v>10000159</v>
      </c>
      <c r="D163" s="32" t="s">
        <v>580</v>
      </c>
      <c r="E163" s="32"/>
      <c r="F163" s="32"/>
      <c r="G163" s="8"/>
    </row>
    <row r="164" spans="1:7" x14ac:dyDescent="0.35">
      <c r="A164" s="8"/>
      <c r="B164" s="26">
        <v>100</v>
      </c>
      <c r="C164" s="26">
        <f>IF(表5_710111213141516[[#This Row],[姓]]=表5_710111213141516[[#This Row],[男名]]=表5_710111213141516[[#This Row],[女名]]="","",10000000+ROW()-4)</f>
        <v>10000160</v>
      </c>
      <c r="D164" s="32" t="s">
        <v>581</v>
      </c>
      <c r="E164" s="32"/>
      <c r="F164" s="32"/>
      <c r="G164" s="8"/>
    </row>
    <row r="165" spans="1:7" x14ac:dyDescent="0.35">
      <c r="A165" s="8"/>
      <c r="B165" s="26">
        <v>100</v>
      </c>
      <c r="C165" s="26">
        <f>IF(表5_710111213141516[[#This Row],[姓]]=表5_710111213141516[[#This Row],[男名]]=表5_710111213141516[[#This Row],[女名]]="","",10000000+ROW()-4)</f>
        <v>10000161</v>
      </c>
      <c r="D165" s="32" t="s">
        <v>582</v>
      </c>
      <c r="E165" s="32"/>
      <c r="F165" s="32"/>
      <c r="G165" s="8"/>
    </row>
    <row r="166" spans="1:7" x14ac:dyDescent="0.35">
      <c r="A166" s="8"/>
      <c r="B166" s="26">
        <v>100</v>
      </c>
      <c r="C166" s="26">
        <f>IF(表5_710111213141516[[#This Row],[姓]]=表5_710111213141516[[#This Row],[男名]]=表5_710111213141516[[#This Row],[女名]]="","",10000000+ROW()-4)</f>
        <v>10000162</v>
      </c>
      <c r="D166" s="32" t="s">
        <v>583</v>
      </c>
      <c r="E166" s="32"/>
      <c r="F166" s="32"/>
      <c r="G166" s="8"/>
    </row>
    <row r="167" spans="1:7" x14ac:dyDescent="0.35">
      <c r="A167" s="8"/>
      <c r="B167" s="26">
        <v>100</v>
      </c>
      <c r="C167" s="26">
        <f>IF(表5_710111213141516[[#This Row],[姓]]=表5_710111213141516[[#This Row],[男名]]=表5_710111213141516[[#This Row],[女名]]="","",10000000+ROW()-4)</f>
        <v>10000163</v>
      </c>
      <c r="D167" s="32" t="s">
        <v>584</v>
      </c>
      <c r="E167" s="32"/>
      <c r="F167" s="32"/>
      <c r="G167" s="8"/>
    </row>
    <row r="168" spans="1:7" x14ac:dyDescent="0.35">
      <c r="A168" s="8"/>
      <c r="B168" s="26">
        <v>100</v>
      </c>
      <c r="C168" s="26">
        <f>IF(表5_710111213141516[[#This Row],[姓]]=表5_710111213141516[[#This Row],[男名]]=表5_710111213141516[[#This Row],[女名]]="","",10000000+ROW()-4)</f>
        <v>10000164</v>
      </c>
      <c r="D168" s="32" t="s">
        <v>585</v>
      </c>
      <c r="E168" s="32"/>
      <c r="F168" s="32"/>
      <c r="G168" s="8"/>
    </row>
    <row r="169" spans="1:7" x14ac:dyDescent="0.35">
      <c r="A169" s="8"/>
      <c r="B169" s="26">
        <v>100</v>
      </c>
      <c r="C169" s="26">
        <f>IF(表5_710111213141516[[#This Row],[姓]]=表5_710111213141516[[#This Row],[男名]]=表5_710111213141516[[#This Row],[女名]]="","",10000000+ROW()-4)</f>
        <v>10000165</v>
      </c>
      <c r="D169" s="32" t="s">
        <v>586</v>
      </c>
      <c r="E169" s="32"/>
      <c r="F169" s="32"/>
      <c r="G169" s="8"/>
    </row>
    <row r="170" spans="1:7" x14ac:dyDescent="0.35">
      <c r="A170" s="8"/>
      <c r="B170" s="26">
        <v>100</v>
      </c>
      <c r="C170" s="26">
        <f>IF(表5_710111213141516[[#This Row],[姓]]=表5_710111213141516[[#This Row],[男名]]=表5_710111213141516[[#This Row],[女名]]="","",10000000+ROW()-4)</f>
        <v>10000166</v>
      </c>
      <c r="D170" s="32" t="s">
        <v>587</v>
      </c>
      <c r="E170" s="32"/>
      <c r="F170" s="32"/>
      <c r="G170" s="8"/>
    </row>
    <row r="171" spans="1:7" x14ac:dyDescent="0.35">
      <c r="A171" s="8"/>
      <c r="B171" s="26">
        <v>100</v>
      </c>
      <c r="C171" s="26">
        <f>IF(表5_710111213141516[[#This Row],[姓]]=表5_710111213141516[[#This Row],[男名]]=表5_710111213141516[[#This Row],[女名]]="","",10000000+ROW()-4)</f>
        <v>10000167</v>
      </c>
      <c r="D171" s="32" t="s">
        <v>588</v>
      </c>
      <c r="E171" s="32"/>
      <c r="F171" s="32"/>
      <c r="G171" s="8"/>
    </row>
    <row r="172" spans="1:7" x14ac:dyDescent="0.35">
      <c r="A172" s="8"/>
      <c r="B172" s="26">
        <v>100</v>
      </c>
      <c r="C172" s="26">
        <f>IF(表5_710111213141516[[#This Row],[姓]]=表5_710111213141516[[#This Row],[男名]]=表5_710111213141516[[#This Row],[女名]]="","",10000000+ROW()-4)</f>
        <v>10000168</v>
      </c>
      <c r="D172" s="32" t="s">
        <v>589</v>
      </c>
      <c r="E172" s="32"/>
      <c r="F172" s="32"/>
      <c r="G172" s="8"/>
    </row>
    <row r="173" spans="1:7" x14ac:dyDescent="0.35">
      <c r="A173" s="8"/>
      <c r="B173" s="26">
        <v>100</v>
      </c>
      <c r="C173" s="26">
        <f>IF(表5_710111213141516[[#This Row],[姓]]=表5_710111213141516[[#This Row],[男名]]=表5_710111213141516[[#This Row],[女名]]="","",10000000+ROW()-4)</f>
        <v>10000169</v>
      </c>
      <c r="D173" s="32" t="s">
        <v>590</v>
      </c>
      <c r="E173" s="32"/>
      <c r="F173" s="32"/>
      <c r="G173" s="8"/>
    </row>
    <row r="174" spans="1:7" x14ac:dyDescent="0.35">
      <c r="A174" s="8"/>
      <c r="B174" s="26">
        <v>100</v>
      </c>
      <c r="C174" s="26">
        <f>IF(表5_710111213141516[[#This Row],[姓]]=表5_710111213141516[[#This Row],[男名]]=表5_710111213141516[[#This Row],[女名]]="","",10000000+ROW()-4)</f>
        <v>10000170</v>
      </c>
      <c r="D174" s="32" t="s">
        <v>591</v>
      </c>
      <c r="E174" s="32"/>
      <c r="F174" s="32"/>
      <c r="G174" s="8"/>
    </row>
    <row r="175" spans="1:7" x14ac:dyDescent="0.35">
      <c r="A175" s="8"/>
      <c r="B175" s="26">
        <v>100</v>
      </c>
      <c r="C175" s="26">
        <f>IF(表5_710111213141516[[#This Row],[姓]]=表5_710111213141516[[#This Row],[男名]]=表5_710111213141516[[#This Row],[女名]]="","",10000000+ROW()-4)</f>
        <v>10000171</v>
      </c>
      <c r="D175" s="32" t="s">
        <v>592</v>
      </c>
      <c r="E175" s="32"/>
      <c r="F175" s="32"/>
      <c r="G175" s="8"/>
    </row>
    <row r="176" spans="1:7" x14ac:dyDescent="0.35">
      <c r="A176" s="8"/>
      <c r="B176" s="26">
        <v>100</v>
      </c>
      <c r="C176" s="26">
        <f>IF(表5_710111213141516[[#This Row],[姓]]=表5_710111213141516[[#This Row],[男名]]=表5_710111213141516[[#This Row],[女名]]="","",10000000+ROW()-4)</f>
        <v>10000172</v>
      </c>
      <c r="D176" s="32" t="s">
        <v>593</v>
      </c>
      <c r="E176" s="32"/>
      <c r="F176" s="32"/>
      <c r="G176" s="8"/>
    </row>
    <row r="177" spans="1:7" x14ac:dyDescent="0.35">
      <c r="A177" s="8"/>
      <c r="B177" s="26">
        <v>100</v>
      </c>
      <c r="C177" s="26">
        <f>IF(表5_710111213141516[[#This Row],[姓]]=表5_710111213141516[[#This Row],[男名]]=表5_710111213141516[[#This Row],[女名]]="","",10000000+ROW()-4)</f>
        <v>10000173</v>
      </c>
      <c r="D177" s="32" t="s">
        <v>594</v>
      </c>
      <c r="E177" s="32"/>
      <c r="F177" s="32"/>
      <c r="G177" s="8"/>
    </row>
    <row r="178" spans="1:7" x14ac:dyDescent="0.35">
      <c r="A178" s="8"/>
      <c r="B178" s="26">
        <v>100</v>
      </c>
      <c r="C178" s="26">
        <f>IF(表5_710111213141516[[#This Row],[姓]]=表5_710111213141516[[#This Row],[男名]]=表5_710111213141516[[#This Row],[女名]]="","",10000000+ROW()-4)</f>
        <v>10000174</v>
      </c>
      <c r="D178" s="32" t="s">
        <v>595</v>
      </c>
      <c r="E178" s="32"/>
      <c r="F178" s="32"/>
      <c r="G178" s="8"/>
    </row>
    <row r="179" spans="1:7" x14ac:dyDescent="0.35">
      <c r="A179" s="8"/>
      <c r="B179" s="26">
        <v>100</v>
      </c>
      <c r="C179" s="26">
        <f>IF(表5_710111213141516[[#This Row],[姓]]=表5_710111213141516[[#This Row],[男名]]=表5_710111213141516[[#This Row],[女名]]="","",10000000+ROW()-4)</f>
        <v>10000175</v>
      </c>
      <c r="D179" s="32" t="s">
        <v>596</v>
      </c>
      <c r="E179" s="32"/>
      <c r="F179" s="32"/>
      <c r="G179" s="8"/>
    </row>
    <row r="180" spans="1:7" x14ac:dyDescent="0.35">
      <c r="A180" s="8"/>
      <c r="B180" s="26">
        <v>100</v>
      </c>
      <c r="C180" s="26">
        <f>IF(表5_710111213141516[[#This Row],[姓]]=表5_710111213141516[[#This Row],[男名]]=表5_710111213141516[[#This Row],[女名]]="","",10000000+ROW()-4)</f>
        <v>10000176</v>
      </c>
      <c r="D180" s="32" t="s">
        <v>597</v>
      </c>
      <c r="E180" s="32"/>
      <c r="F180" s="32"/>
      <c r="G180" s="8"/>
    </row>
    <row r="181" spans="1:7" x14ac:dyDescent="0.35">
      <c r="A181" s="8"/>
      <c r="B181" s="26">
        <v>100</v>
      </c>
      <c r="C181" s="26">
        <f>IF(表5_710111213141516[[#This Row],[姓]]=表5_710111213141516[[#This Row],[男名]]=表5_710111213141516[[#This Row],[女名]]="","",10000000+ROW()-4)</f>
        <v>10000177</v>
      </c>
      <c r="D181" s="32" t="s">
        <v>598</v>
      </c>
      <c r="E181" s="32"/>
      <c r="F181" s="32"/>
      <c r="G181" s="8"/>
    </row>
    <row r="182" spans="1:7" x14ac:dyDescent="0.35">
      <c r="A182" s="8"/>
      <c r="B182" s="26">
        <v>100</v>
      </c>
      <c r="C182" s="26">
        <f>IF(表5_710111213141516[[#This Row],[姓]]=表5_710111213141516[[#This Row],[男名]]=表5_710111213141516[[#This Row],[女名]]="","",10000000+ROW()-4)</f>
        <v>10000178</v>
      </c>
      <c r="D182" s="32" t="s">
        <v>599</v>
      </c>
      <c r="E182" s="32"/>
      <c r="F182" s="32"/>
      <c r="G182" s="8"/>
    </row>
    <row r="183" spans="1:7" x14ac:dyDescent="0.35">
      <c r="A183" s="8"/>
      <c r="B183" s="26">
        <v>100</v>
      </c>
      <c r="C183" s="26">
        <f>IF(表5_710111213141516[[#This Row],[姓]]=表5_710111213141516[[#This Row],[男名]]=表5_710111213141516[[#This Row],[女名]]="","",10000000+ROW()-4)</f>
        <v>10000179</v>
      </c>
      <c r="D183" s="32" t="s">
        <v>600</v>
      </c>
      <c r="E183" s="32"/>
      <c r="F183" s="32"/>
      <c r="G183" s="8"/>
    </row>
    <row r="184" spans="1:7" x14ac:dyDescent="0.35">
      <c r="A184" s="8"/>
      <c r="B184" s="26">
        <v>100</v>
      </c>
      <c r="C184" s="26">
        <f>IF(表5_710111213141516[[#This Row],[姓]]=表5_710111213141516[[#This Row],[男名]]=表5_710111213141516[[#This Row],[女名]]="","",10000000+ROW()-4)</f>
        <v>10000180</v>
      </c>
      <c r="D184" s="32" t="s">
        <v>601</v>
      </c>
      <c r="E184" s="32"/>
      <c r="F184" s="32"/>
      <c r="G184" s="8"/>
    </row>
    <row r="185" spans="1:7" x14ac:dyDescent="0.35">
      <c r="A185" s="8"/>
      <c r="B185" s="26">
        <v>100</v>
      </c>
      <c r="C185" s="26">
        <f>IF(表5_710111213141516[[#This Row],[姓]]=表5_710111213141516[[#This Row],[男名]]=表5_710111213141516[[#This Row],[女名]]="","",10000000+ROW()-4)</f>
        <v>10000181</v>
      </c>
      <c r="D185" s="32" t="s">
        <v>602</v>
      </c>
      <c r="E185" s="32"/>
      <c r="F185" s="32"/>
      <c r="G185" s="8"/>
    </row>
    <row r="186" spans="1:7" x14ac:dyDescent="0.35">
      <c r="A186" s="8"/>
      <c r="B186" s="26">
        <v>100</v>
      </c>
      <c r="C186" s="26">
        <f>IF(表5_710111213141516[[#This Row],[姓]]=表5_710111213141516[[#This Row],[男名]]=表5_710111213141516[[#This Row],[女名]]="","",10000000+ROW()-4)</f>
        <v>10000182</v>
      </c>
      <c r="D186" s="32" t="s">
        <v>603</v>
      </c>
      <c r="E186" s="32"/>
      <c r="F186" s="32"/>
      <c r="G186" s="8"/>
    </row>
    <row r="187" spans="1:7" x14ac:dyDescent="0.35">
      <c r="A187" s="8"/>
      <c r="B187" s="26">
        <v>100</v>
      </c>
      <c r="C187" s="26">
        <f>IF(表5_710111213141516[[#This Row],[姓]]=表5_710111213141516[[#This Row],[男名]]=表5_710111213141516[[#This Row],[女名]]="","",10000000+ROW()-4)</f>
        <v>10000183</v>
      </c>
      <c r="D187" s="32" t="s">
        <v>604</v>
      </c>
      <c r="E187" s="32"/>
      <c r="F187" s="32"/>
      <c r="G187" s="8"/>
    </row>
    <row r="188" spans="1:7" x14ac:dyDescent="0.35">
      <c r="A188" s="8"/>
      <c r="B188" s="26">
        <v>100</v>
      </c>
      <c r="C188" s="26">
        <f>IF(表5_710111213141516[[#This Row],[姓]]=表5_710111213141516[[#This Row],[男名]]=表5_710111213141516[[#This Row],[女名]]="","",10000000+ROW()-4)</f>
        <v>10000184</v>
      </c>
      <c r="D188" s="32" t="s">
        <v>605</v>
      </c>
      <c r="E188" s="32"/>
      <c r="F188" s="32"/>
      <c r="G188" s="8"/>
    </row>
    <row r="189" spans="1:7" x14ac:dyDescent="0.35">
      <c r="A189" s="8"/>
      <c r="B189" s="26">
        <v>100</v>
      </c>
      <c r="C189" s="26">
        <f>IF(表5_710111213141516[[#This Row],[姓]]=表5_710111213141516[[#This Row],[男名]]=表5_710111213141516[[#This Row],[女名]]="","",10000000+ROW()-4)</f>
        <v>10000185</v>
      </c>
      <c r="D189" s="32" t="s">
        <v>606</v>
      </c>
      <c r="E189" s="32"/>
      <c r="F189" s="32"/>
      <c r="G189" s="8"/>
    </row>
    <row r="190" spans="1:7" x14ac:dyDescent="0.35">
      <c r="A190" s="8"/>
      <c r="B190" s="26">
        <v>100</v>
      </c>
      <c r="C190" s="26">
        <f>IF(表5_710111213141516[[#This Row],[姓]]=表5_710111213141516[[#This Row],[男名]]=表5_710111213141516[[#This Row],[女名]]="","",10000000+ROW()-4)</f>
        <v>10000186</v>
      </c>
      <c r="D190" s="32" t="s">
        <v>607</v>
      </c>
      <c r="E190" s="32"/>
      <c r="F190" s="32"/>
      <c r="G190" s="8"/>
    </row>
    <row r="191" spans="1:7" x14ac:dyDescent="0.35">
      <c r="A191" s="8"/>
      <c r="B191" s="26">
        <v>100</v>
      </c>
      <c r="C191" s="26">
        <f>IF(表5_710111213141516[[#This Row],[姓]]=表5_710111213141516[[#This Row],[男名]]=表5_710111213141516[[#This Row],[女名]]="","",10000000+ROW()-4)</f>
        <v>10000187</v>
      </c>
      <c r="D191" s="32" t="s">
        <v>608</v>
      </c>
      <c r="E191" s="32"/>
      <c r="F191" s="32"/>
      <c r="G191" s="8"/>
    </row>
    <row r="192" spans="1:7" x14ac:dyDescent="0.35">
      <c r="A192" s="8"/>
      <c r="B192" s="26">
        <v>100</v>
      </c>
      <c r="C192" s="26">
        <f>IF(表5_710111213141516[[#This Row],[姓]]=表5_710111213141516[[#This Row],[男名]]=表5_710111213141516[[#This Row],[女名]]="","",10000000+ROW()-4)</f>
        <v>10000188</v>
      </c>
      <c r="D192" s="32" t="s">
        <v>609</v>
      </c>
      <c r="E192" s="32"/>
      <c r="F192" s="32"/>
      <c r="G192" s="8"/>
    </row>
    <row r="193" spans="1:7" x14ac:dyDescent="0.35">
      <c r="A193" s="8"/>
      <c r="B193" s="26">
        <v>100</v>
      </c>
      <c r="C193" s="26">
        <f>IF(表5_710111213141516[[#This Row],[姓]]=表5_710111213141516[[#This Row],[男名]]=表5_710111213141516[[#This Row],[女名]]="","",10000000+ROW()-4)</f>
        <v>10000189</v>
      </c>
      <c r="D193" s="32" t="s">
        <v>610</v>
      </c>
      <c r="E193" s="32"/>
      <c r="F193" s="32"/>
      <c r="G193" s="8"/>
    </row>
    <row r="194" spans="1:7" x14ac:dyDescent="0.35">
      <c r="A194" s="8"/>
      <c r="B194" s="26">
        <v>100</v>
      </c>
      <c r="C194" s="26">
        <f>IF(表5_710111213141516[[#This Row],[姓]]=表5_710111213141516[[#This Row],[男名]]=表5_710111213141516[[#This Row],[女名]]="","",10000000+ROW()-4)</f>
        <v>10000190</v>
      </c>
      <c r="D194" s="32" t="s">
        <v>611</v>
      </c>
      <c r="E194" s="32"/>
      <c r="F194" s="32"/>
      <c r="G194" s="8"/>
    </row>
    <row r="195" spans="1:7" x14ac:dyDescent="0.35">
      <c r="A195" s="8"/>
      <c r="B195" s="26">
        <v>100</v>
      </c>
      <c r="C195" s="26">
        <f>IF(表5_710111213141516[[#This Row],[姓]]=表5_710111213141516[[#This Row],[男名]]=表5_710111213141516[[#This Row],[女名]]="","",10000000+ROW()-4)</f>
        <v>10000191</v>
      </c>
      <c r="D195" s="32" t="s">
        <v>612</v>
      </c>
      <c r="E195" s="32"/>
      <c r="F195" s="32"/>
      <c r="G195" s="8"/>
    </row>
    <row r="196" spans="1:7" x14ac:dyDescent="0.35">
      <c r="A196" s="8"/>
      <c r="B196" s="26">
        <v>100</v>
      </c>
      <c r="C196" s="26">
        <f>IF(表5_710111213141516[[#This Row],[姓]]=表5_710111213141516[[#This Row],[男名]]=表5_710111213141516[[#This Row],[女名]]="","",10000000+ROW()-4)</f>
        <v>10000192</v>
      </c>
      <c r="D196" s="32" t="s">
        <v>613</v>
      </c>
      <c r="E196" s="32"/>
      <c r="F196" s="32"/>
      <c r="G196" s="8"/>
    </row>
    <row r="197" spans="1:7" x14ac:dyDescent="0.35">
      <c r="A197" s="8"/>
      <c r="B197" s="26">
        <v>100</v>
      </c>
      <c r="C197" s="26">
        <f>IF(表5_710111213141516[[#This Row],[姓]]=表5_710111213141516[[#This Row],[男名]]=表5_710111213141516[[#This Row],[女名]]="","",10000000+ROW()-4)</f>
        <v>10000193</v>
      </c>
      <c r="D197" s="32" t="s">
        <v>614</v>
      </c>
      <c r="E197" s="32"/>
      <c r="F197" s="32"/>
      <c r="G197" s="8"/>
    </row>
    <row r="198" spans="1:7" x14ac:dyDescent="0.35">
      <c r="A198" s="8"/>
      <c r="B198" s="26">
        <v>100</v>
      </c>
      <c r="C198" s="26">
        <f>IF(表5_710111213141516[[#This Row],[姓]]=表5_710111213141516[[#This Row],[男名]]=表5_710111213141516[[#This Row],[女名]]="","",10000000+ROW()-4)</f>
        <v>10000194</v>
      </c>
      <c r="D198" s="32" t="s">
        <v>615</v>
      </c>
      <c r="E198" s="32"/>
      <c r="F198" s="32"/>
      <c r="G198" s="8"/>
    </row>
    <row r="199" spans="1:7" x14ac:dyDescent="0.35">
      <c r="A199" s="8"/>
      <c r="B199" s="26">
        <v>100</v>
      </c>
      <c r="C199" s="26">
        <f>IF(表5_710111213141516[[#This Row],[姓]]=表5_710111213141516[[#This Row],[男名]]=表5_710111213141516[[#This Row],[女名]]="","",10000000+ROW()-4)</f>
        <v>10000195</v>
      </c>
      <c r="D199" s="32" t="s">
        <v>616</v>
      </c>
      <c r="E199" s="32"/>
      <c r="F199" s="32"/>
      <c r="G199" s="8"/>
    </row>
    <row r="200" spans="1:7" x14ac:dyDescent="0.35">
      <c r="A200" s="8"/>
      <c r="B200" s="26">
        <v>100</v>
      </c>
      <c r="C200" s="26">
        <f>IF(表5_710111213141516[[#This Row],[姓]]=表5_710111213141516[[#This Row],[男名]]=表5_710111213141516[[#This Row],[女名]]="","",10000000+ROW()-4)</f>
        <v>10000196</v>
      </c>
      <c r="D200" s="32" t="s">
        <v>617</v>
      </c>
      <c r="E200" s="32"/>
      <c r="F200" s="32"/>
      <c r="G200" s="8"/>
    </row>
    <row r="201" spans="1:7" x14ac:dyDescent="0.35">
      <c r="A201" s="8"/>
      <c r="B201" s="26">
        <v>100</v>
      </c>
      <c r="C201" s="26">
        <f>IF(表5_710111213141516[[#This Row],[姓]]=表5_710111213141516[[#This Row],[男名]]=表5_710111213141516[[#This Row],[女名]]="","",10000000+ROW()-4)</f>
        <v>10000197</v>
      </c>
      <c r="D201" s="32" t="s">
        <v>618</v>
      </c>
      <c r="E201" s="32"/>
      <c r="F201" s="32"/>
      <c r="G201" s="8"/>
    </row>
    <row r="202" spans="1:7" x14ac:dyDescent="0.35">
      <c r="A202" s="8"/>
      <c r="B202" s="26">
        <v>100</v>
      </c>
      <c r="C202" s="26">
        <f>IF(表5_710111213141516[[#This Row],[姓]]=表5_710111213141516[[#This Row],[男名]]=表5_710111213141516[[#This Row],[女名]]="","",10000000+ROW()-4)</f>
        <v>10000198</v>
      </c>
      <c r="D202" s="32" t="s">
        <v>619</v>
      </c>
      <c r="E202" s="32"/>
      <c r="F202" s="32"/>
      <c r="G202" s="8"/>
    </row>
    <row r="203" spans="1:7" x14ac:dyDescent="0.35">
      <c r="A203" s="8"/>
      <c r="B203" s="26">
        <v>100</v>
      </c>
      <c r="C203" s="26">
        <f>IF(表5_710111213141516[[#This Row],[姓]]=表5_710111213141516[[#This Row],[男名]]=表5_710111213141516[[#This Row],[女名]]="","",10000000+ROW()-4)</f>
        <v>10000199</v>
      </c>
      <c r="D203" s="32" t="s">
        <v>620</v>
      </c>
      <c r="E203" s="32"/>
      <c r="F203" s="32"/>
      <c r="G203" s="8"/>
    </row>
    <row r="204" spans="1:7" x14ac:dyDescent="0.35">
      <c r="A204" s="8"/>
      <c r="B204" s="26">
        <v>100</v>
      </c>
      <c r="C204" s="26">
        <f>IF(表5_710111213141516[[#This Row],[姓]]=表5_710111213141516[[#This Row],[男名]]=表5_710111213141516[[#This Row],[女名]]="","",10000000+ROW()-4)</f>
        <v>10000200</v>
      </c>
      <c r="D204" s="32" t="s">
        <v>621</v>
      </c>
      <c r="E204" s="32"/>
      <c r="F204" s="32"/>
      <c r="G204" s="8"/>
    </row>
    <row r="205" spans="1:7" x14ac:dyDescent="0.35">
      <c r="A205" s="8"/>
      <c r="B205" s="26">
        <v>100</v>
      </c>
      <c r="C205" s="26">
        <f>IF(表5_710111213141516[[#This Row],[姓]]=表5_710111213141516[[#This Row],[男名]]=表5_710111213141516[[#This Row],[女名]]="","",10000000+ROW()-4)</f>
        <v>10000201</v>
      </c>
      <c r="D205" s="32" t="s">
        <v>622</v>
      </c>
      <c r="E205" s="32"/>
      <c r="F205" s="32"/>
      <c r="G205" s="8"/>
    </row>
    <row r="206" spans="1:7" x14ac:dyDescent="0.35">
      <c r="A206" s="8"/>
      <c r="B206" s="26">
        <v>100</v>
      </c>
      <c r="C206" s="26">
        <f>IF(表5_710111213141516[[#This Row],[姓]]=表5_710111213141516[[#This Row],[男名]]=表5_710111213141516[[#This Row],[女名]]="","",10000000+ROW()-4)</f>
        <v>10000202</v>
      </c>
      <c r="D206" s="32" t="s">
        <v>623</v>
      </c>
      <c r="E206" s="32"/>
      <c r="F206" s="32"/>
      <c r="G206" s="8"/>
    </row>
    <row r="207" spans="1:7" x14ac:dyDescent="0.35">
      <c r="A207" s="8"/>
      <c r="B207" s="26">
        <v>100</v>
      </c>
      <c r="C207" s="26">
        <f>IF(表5_710111213141516[[#This Row],[姓]]=表5_710111213141516[[#This Row],[男名]]=表5_710111213141516[[#This Row],[女名]]="","",10000000+ROW()-4)</f>
        <v>10000203</v>
      </c>
      <c r="D207" s="32" t="s">
        <v>624</v>
      </c>
      <c r="E207" s="32"/>
      <c r="F207" s="32"/>
      <c r="G207" s="8"/>
    </row>
    <row r="208" spans="1:7" x14ac:dyDescent="0.35">
      <c r="A208" s="8"/>
      <c r="B208" s="26">
        <v>100</v>
      </c>
      <c r="C208" s="26">
        <f>IF(表5_710111213141516[[#This Row],[姓]]=表5_710111213141516[[#This Row],[男名]]=表5_710111213141516[[#This Row],[女名]]="","",10000000+ROW()-4)</f>
        <v>10000204</v>
      </c>
      <c r="D208" s="32" t="s">
        <v>625</v>
      </c>
      <c r="E208" s="32"/>
      <c r="F208" s="32"/>
      <c r="G208" s="8"/>
    </row>
    <row r="209" spans="1:7" x14ac:dyDescent="0.35">
      <c r="A209" s="8"/>
      <c r="B209" s="26">
        <v>100</v>
      </c>
      <c r="C209" s="26">
        <f>IF(表5_710111213141516[[#This Row],[姓]]=表5_710111213141516[[#This Row],[男名]]=表5_710111213141516[[#This Row],[女名]]="","",10000000+ROW()-4)</f>
        <v>10000205</v>
      </c>
      <c r="D209" s="32" t="s">
        <v>626</v>
      </c>
      <c r="E209" s="32"/>
      <c r="F209" s="32"/>
      <c r="G209" s="8"/>
    </row>
    <row r="210" spans="1:7" x14ac:dyDescent="0.35">
      <c r="A210" s="8"/>
      <c r="B210" s="26">
        <v>100</v>
      </c>
      <c r="C210" s="26">
        <f>IF(表5_710111213141516[[#This Row],[姓]]=表5_710111213141516[[#This Row],[男名]]=表5_710111213141516[[#This Row],[女名]]="","",10000000+ROW()-4)</f>
        <v>10000206</v>
      </c>
      <c r="D210" s="32" t="s">
        <v>627</v>
      </c>
      <c r="E210" s="32"/>
      <c r="F210" s="32"/>
      <c r="G210" s="8"/>
    </row>
    <row r="211" spans="1:7" x14ac:dyDescent="0.35">
      <c r="A211" s="8"/>
      <c r="B211" s="26">
        <v>100</v>
      </c>
      <c r="C211" s="26">
        <f>IF(表5_710111213141516[[#This Row],[姓]]=表5_710111213141516[[#This Row],[男名]]=表5_710111213141516[[#This Row],[女名]]="","",10000000+ROW()-4)</f>
        <v>10000207</v>
      </c>
      <c r="D211" s="32" t="s">
        <v>628</v>
      </c>
      <c r="E211" s="32"/>
      <c r="F211" s="32"/>
      <c r="G211" s="8"/>
    </row>
    <row r="212" spans="1:7" x14ac:dyDescent="0.35">
      <c r="A212" s="8"/>
      <c r="B212" s="26">
        <v>100</v>
      </c>
      <c r="C212" s="26">
        <f>IF(表5_710111213141516[[#This Row],[姓]]=表5_710111213141516[[#This Row],[男名]]=表5_710111213141516[[#This Row],[女名]]="","",10000000+ROW()-4)</f>
        <v>10000208</v>
      </c>
      <c r="D212" s="32" t="s">
        <v>629</v>
      </c>
      <c r="E212" s="32"/>
      <c r="F212" s="32"/>
      <c r="G212" s="8"/>
    </row>
    <row r="213" spans="1:7" x14ac:dyDescent="0.35">
      <c r="A213" s="8"/>
      <c r="B213" s="26">
        <v>100</v>
      </c>
      <c r="C213" s="26">
        <f>IF(表5_710111213141516[[#This Row],[姓]]=表5_710111213141516[[#This Row],[男名]]=表5_710111213141516[[#This Row],[女名]]="","",10000000+ROW()-4)</f>
        <v>10000209</v>
      </c>
      <c r="D213" s="32" t="s">
        <v>630</v>
      </c>
      <c r="E213" s="32"/>
      <c r="F213" s="32"/>
      <c r="G213" s="8"/>
    </row>
    <row r="214" spans="1:7" x14ac:dyDescent="0.35">
      <c r="A214" s="8"/>
      <c r="B214" s="26">
        <v>100</v>
      </c>
      <c r="C214" s="26">
        <f>IF(表5_710111213141516[[#This Row],[姓]]=表5_710111213141516[[#This Row],[男名]]=表5_710111213141516[[#This Row],[女名]]="","",10000000+ROW()-4)</f>
        <v>10000210</v>
      </c>
      <c r="D214" s="32" t="s">
        <v>631</v>
      </c>
      <c r="E214" s="32"/>
      <c r="F214" s="32"/>
      <c r="G214" s="8"/>
    </row>
    <row r="215" spans="1:7" x14ac:dyDescent="0.35">
      <c r="A215" s="8"/>
      <c r="B215" s="26">
        <v>100</v>
      </c>
      <c r="C215" s="26">
        <f>IF(表5_710111213141516[[#This Row],[姓]]=表5_710111213141516[[#This Row],[男名]]=表5_710111213141516[[#This Row],[女名]]="","",10000000+ROW()-4)</f>
        <v>10000211</v>
      </c>
      <c r="D215" s="32" t="s">
        <v>632</v>
      </c>
      <c r="E215" s="32"/>
      <c r="F215" s="32"/>
      <c r="G215" s="8"/>
    </row>
    <row r="216" spans="1:7" x14ac:dyDescent="0.35">
      <c r="A216" s="8"/>
      <c r="B216" s="26">
        <v>100</v>
      </c>
      <c r="C216" s="26">
        <f>IF(表5_710111213141516[[#This Row],[姓]]=表5_710111213141516[[#This Row],[男名]]=表5_710111213141516[[#This Row],[女名]]="","",10000000+ROW()-4)</f>
        <v>10000212</v>
      </c>
      <c r="D216" s="32" t="s">
        <v>633</v>
      </c>
      <c r="E216" s="32"/>
      <c r="F216" s="32"/>
      <c r="G216" s="8"/>
    </row>
    <row r="217" spans="1:7" x14ac:dyDescent="0.35">
      <c r="A217" s="8"/>
      <c r="B217" s="26">
        <v>100</v>
      </c>
      <c r="C217" s="26">
        <f>IF(表5_710111213141516[[#This Row],[姓]]=表5_710111213141516[[#This Row],[男名]]=表5_710111213141516[[#This Row],[女名]]="","",10000000+ROW()-4)</f>
        <v>10000213</v>
      </c>
      <c r="D217" s="32" t="s">
        <v>634</v>
      </c>
      <c r="E217" s="32"/>
      <c r="F217" s="32"/>
      <c r="G217" s="8"/>
    </row>
    <row r="218" spans="1:7" x14ac:dyDescent="0.35">
      <c r="A218" s="8"/>
      <c r="B218" s="26">
        <v>100</v>
      </c>
      <c r="C218" s="26">
        <f>IF(表5_710111213141516[[#This Row],[姓]]=表5_710111213141516[[#This Row],[男名]]=表5_710111213141516[[#This Row],[女名]]="","",10000000+ROW()-4)</f>
        <v>10000214</v>
      </c>
      <c r="D218" s="32" t="s">
        <v>635</v>
      </c>
      <c r="E218" s="32"/>
      <c r="F218" s="32"/>
      <c r="G218" s="8"/>
    </row>
    <row r="219" spans="1:7" x14ac:dyDescent="0.35">
      <c r="A219" s="8"/>
      <c r="B219" s="26">
        <v>100</v>
      </c>
      <c r="C219" s="26">
        <f>IF(表5_710111213141516[[#This Row],[姓]]=表5_710111213141516[[#This Row],[男名]]=表5_710111213141516[[#This Row],[女名]]="","",10000000+ROW()-4)</f>
        <v>10000215</v>
      </c>
      <c r="D219" s="32" t="s">
        <v>636</v>
      </c>
      <c r="E219" s="32"/>
      <c r="F219" s="32"/>
      <c r="G219" s="8"/>
    </row>
    <row r="220" spans="1:7" x14ac:dyDescent="0.35">
      <c r="A220" s="8"/>
      <c r="B220" s="26">
        <v>100</v>
      </c>
      <c r="C220" s="26">
        <f>IF(表5_710111213141516[[#This Row],[姓]]=表5_710111213141516[[#This Row],[男名]]=表5_710111213141516[[#This Row],[女名]]="","",10000000+ROW()-4)</f>
        <v>10000216</v>
      </c>
      <c r="D220" s="32" t="s">
        <v>637</v>
      </c>
      <c r="E220" s="32"/>
      <c r="F220" s="32"/>
      <c r="G220" s="8"/>
    </row>
    <row r="221" spans="1:7" x14ac:dyDescent="0.35">
      <c r="A221" s="8"/>
      <c r="B221" s="26">
        <v>100</v>
      </c>
      <c r="C221" s="26">
        <f>IF(表5_710111213141516[[#This Row],[姓]]=表5_710111213141516[[#This Row],[男名]]=表5_710111213141516[[#This Row],[女名]]="","",10000000+ROW()-4)</f>
        <v>10000217</v>
      </c>
      <c r="D221" s="32" t="s">
        <v>638</v>
      </c>
      <c r="E221" s="32"/>
      <c r="F221" s="32"/>
      <c r="G221" s="8"/>
    </row>
    <row r="222" spans="1:7" x14ac:dyDescent="0.35">
      <c r="A222" s="8"/>
      <c r="B222" s="26">
        <v>100</v>
      </c>
      <c r="C222" s="26">
        <f>IF(表5_710111213141516[[#This Row],[姓]]=表5_710111213141516[[#This Row],[男名]]=表5_710111213141516[[#This Row],[女名]]="","",10000000+ROW()-4)</f>
        <v>10000218</v>
      </c>
      <c r="D222" s="32" t="s">
        <v>639</v>
      </c>
      <c r="E222" s="32"/>
      <c r="F222" s="32"/>
      <c r="G222" s="8"/>
    </row>
    <row r="223" spans="1:7" x14ac:dyDescent="0.35">
      <c r="A223" s="8"/>
      <c r="B223" s="26">
        <v>100</v>
      </c>
      <c r="C223" s="26">
        <f>IF(表5_710111213141516[[#This Row],[姓]]=表5_710111213141516[[#This Row],[男名]]=表5_710111213141516[[#This Row],[女名]]="","",10000000+ROW()-4)</f>
        <v>10000219</v>
      </c>
      <c r="D223" s="32" t="s">
        <v>640</v>
      </c>
      <c r="E223" s="32"/>
      <c r="F223" s="32"/>
      <c r="G223" s="8"/>
    </row>
    <row r="224" spans="1:7" x14ac:dyDescent="0.35">
      <c r="A224" s="8"/>
      <c r="B224" s="26">
        <v>100</v>
      </c>
      <c r="C224" s="26">
        <f>IF(表5_710111213141516[[#This Row],[姓]]=表5_710111213141516[[#This Row],[男名]]=表5_710111213141516[[#This Row],[女名]]="","",10000000+ROW()-4)</f>
        <v>10000220</v>
      </c>
      <c r="D224" s="32" t="s">
        <v>641</v>
      </c>
      <c r="E224" s="32"/>
      <c r="F224" s="32"/>
      <c r="G224" s="8"/>
    </row>
    <row r="225" spans="1:7" x14ac:dyDescent="0.35">
      <c r="A225" s="8"/>
      <c r="B225" s="26">
        <v>100</v>
      </c>
      <c r="C225" s="26">
        <f>IF(表5_710111213141516[[#This Row],[姓]]=表5_710111213141516[[#This Row],[男名]]=表5_710111213141516[[#This Row],[女名]]="","",10000000+ROW()-4)</f>
        <v>10000221</v>
      </c>
      <c r="D225" s="32" t="s">
        <v>642</v>
      </c>
      <c r="E225" s="32"/>
      <c r="F225" s="32"/>
      <c r="G225" s="8"/>
    </row>
    <row r="226" spans="1:7" x14ac:dyDescent="0.35">
      <c r="A226" s="8"/>
      <c r="B226" s="26">
        <v>100</v>
      </c>
      <c r="C226" s="26">
        <f>IF(表5_710111213141516[[#This Row],[姓]]=表5_710111213141516[[#This Row],[男名]]=表5_710111213141516[[#This Row],[女名]]="","",10000000+ROW()-4)</f>
        <v>10000222</v>
      </c>
      <c r="D226" s="32" t="s">
        <v>643</v>
      </c>
      <c r="E226" s="32"/>
      <c r="F226" s="32"/>
      <c r="G226" s="8"/>
    </row>
    <row r="227" spans="1:7" x14ac:dyDescent="0.35">
      <c r="A227" s="8"/>
      <c r="B227" s="26">
        <v>100</v>
      </c>
      <c r="C227" s="26">
        <f>IF(表5_710111213141516[[#This Row],[姓]]=表5_710111213141516[[#This Row],[男名]]=表5_710111213141516[[#This Row],[女名]]="","",10000000+ROW()-4)</f>
        <v>10000223</v>
      </c>
      <c r="D227" s="32" t="s">
        <v>644</v>
      </c>
      <c r="E227" s="32"/>
      <c r="F227" s="32"/>
      <c r="G227" s="8"/>
    </row>
    <row r="228" spans="1:7" x14ac:dyDescent="0.35">
      <c r="A228" s="8"/>
      <c r="B228" s="26">
        <v>100</v>
      </c>
      <c r="C228" s="26">
        <f>IF(表5_710111213141516[[#This Row],[姓]]=表5_710111213141516[[#This Row],[男名]]=表5_710111213141516[[#This Row],[女名]]="","",10000000+ROW()-4)</f>
        <v>10000224</v>
      </c>
      <c r="D228" s="32" t="s">
        <v>645</v>
      </c>
      <c r="E228" s="32"/>
      <c r="F228" s="32"/>
      <c r="G228" s="8"/>
    </row>
    <row r="229" spans="1:7" x14ac:dyDescent="0.35">
      <c r="A229" s="8"/>
      <c r="B229" s="26">
        <v>100</v>
      </c>
      <c r="C229" s="26">
        <f>IF(表5_710111213141516[[#This Row],[姓]]=表5_710111213141516[[#This Row],[男名]]=表5_710111213141516[[#This Row],[女名]]="","",10000000+ROW()-4)</f>
        <v>10000225</v>
      </c>
      <c r="D229" s="32" t="s">
        <v>646</v>
      </c>
      <c r="E229" s="32"/>
      <c r="F229" s="32"/>
      <c r="G229" s="8"/>
    </row>
    <row r="230" spans="1:7" x14ac:dyDescent="0.35">
      <c r="A230" s="8"/>
      <c r="B230" s="26">
        <v>100</v>
      </c>
      <c r="C230" s="26">
        <f>IF(表5_710111213141516[[#This Row],[姓]]=表5_710111213141516[[#This Row],[男名]]=表5_710111213141516[[#This Row],[女名]]="","",10000000+ROW()-4)</f>
        <v>10000226</v>
      </c>
      <c r="D230" s="32" t="s">
        <v>647</v>
      </c>
      <c r="E230" s="32"/>
      <c r="F230" s="32"/>
      <c r="G230" s="8"/>
    </row>
    <row r="231" spans="1:7" x14ac:dyDescent="0.35">
      <c r="A231" s="8"/>
      <c r="B231" s="26">
        <v>100</v>
      </c>
      <c r="C231" s="26">
        <f>IF(表5_710111213141516[[#This Row],[姓]]=表5_710111213141516[[#This Row],[男名]]=表5_710111213141516[[#This Row],[女名]]="","",10000000+ROW()-4)</f>
        <v>10000227</v>
      </c>
      <c r="D231" s="32" t="s">
        <v>648</v>
      </c>
      <c r="E231" s="32"/>
      <c r="F231" s="32"/>
      <c r="G231" s="8"/>
    </row>
    <row r="232" spans="1:7" x14ac:dyDescent="0.35">
      <c r="A232" s="8"/>
      <c r="B232" s="26">
        <v>100</v>
      </c>
      <c r="C232" s="26">
        <f>IF(表5_710111213141516[[#This Row],[姓]]=表5_710111213141516[[#This Row],[男名]]=表5_710111213141516[[#This Row],[女名]]="","",10000000+ROW()-4)</f>
        <v>10000228</v>
      </c>
      <c r="D232" s="32" t="s">
        <v>649</v>
      </c>
      <c r="E232" s="32"/>
      <c r="F232" s="32"/>
      <c r="G232" s="8"/>
    </row>
    <row r="233" spans="1:7" x14ac:dyDescent="0.35">
      <c r="A233" s="8"/>
      <c r="B233" s="26">
        <v>100</v>
      </c>
      <c r="C233" s="26">
        <f>IF(表5_710111213141516[[#This Row],[姓]]=表5_710111213141516[[#This Row],[男名]]=表5_710111213141516[[#This Row],[女名]]="","",10000000+ROW()-4)</f>
        <v>10000229</v>
      </c>
      <c r="D233" s="32" t="s">
        <v>650</v>
      </c>
      <c r="E233" s="32"/>
      <c r="F233" s="32"/>
      <c r="G233" s="8"/>
    </row>
    <row r="234" spans="1:7" x14ac:dyDescent="0.35">
      <c r="A234" s="8"/>
      <c r="B234" s="26">
        <v>100</v>
      </c>
      <c r="C234" s="26">
        <f>IF(表5_710111213141516[[#This Row],[姓]]=表5_710111213141516[[#This Row],[男名]]=表5_710111213141516[[#This Row],[女名]]="","",10000000+ROW()-4)</f>
        <v>10000230</v>
      </c>
      <c r="D234" s="32" t="s">
        <v>651</v>
      </c>
      <c r="E234" s="32"/>
      <c r="F234" s="32"/>
      <c r="G234" s="8"/>
    </row>
    <row r="235" spans="1:7" x14ac:dyDescent="0.35">
      <c r="A235" s="8"/>
      <c r="B235" s="26">
        <v>100</v>
      </c>
      <c r="C235" s="26">
        <f>IF(表5_710111213141516[[#This Row],[姓]]=表5_710111213141516[[#This Row],[男名]]=表5_710111213141516[[#This Row],[女名]]="","",10000000+ROW()-4)</f>
        <v>10000231</v>
      </c>
      <c r="D235" s="32" t="s">
        <v>652</v>
      </c>
      <c r="E235" s="32"/>
      <c r="F235" s="32"/>
      <c r="G235" s="8"/>
    </row>
    <row r="236" spans="1:7" x14ac:dyDescent="0.35">
      <c r="A236" s="8"/>
      <c r="B236" s="26">
        <v>100</v>
      </c>
      <c r="C236" s="26">
        <f>IF(表5_710111213141516[[#This Row],[姓]]=表5_710111213141516[[#This Row],[男名]]=表5_710111213141516[[#This Row],[女名]]="","",10000000+ROW()-4)</f>
        <v>10000232</v>
      </c>
      <c r="D236" s="32" t="s">
        <v>653</v>
      </c>
      <c r="E236" s="32"/>
      <c r="F236" s="32"/>
      <c r="G236" s="8"/>
    </row>
    <row r="237" spans="1:7" x14ac:dyDescent="0.35">
      <c r="A237" s="8"/>
      <c r="B237" s="26">
        <v>100</v>
      </c>
      <c r="C237" s="26">
        <f>IF(表5_710111213141516[[#This Row],[姓]]=表5_710111213141516[[#This Row],[男名]]=表5_710111213141516[[#This Row],[女名]]="","",10000000+ROW()-4)</f>
        <v>10000233</v>
      </c>
      <c r="D237" s="32" t="s">
        <v>654</v>
      </c>
      <c r="E237" s="32"/>
      <c r="F237" s="32"/>
      <c r="G237" s="8"/>
    </row>
    <row r="238" spans="1:7" x14ac:dyDescent="0.35">
      <c r="A238" s="8"/>
      <c r="B238" s="26">
        <v>100</v>
      </c>
      <c r="C238" s="26">
        <f>IF(表5_710111213141516[[#This Row],[姓]]=表5_710111213141516[[#This Row],[男名]]=表5_710111213141516[[#This Row],[女名]]="","",10000000+ROW()-4)</f>
        <v>10000234</v>
      </c>
      <c r="D238" s="32" t="s">
        <v>655</v>
      </c>
      <c r="E238" s="32"/>
      <c r="F238" s="32"/>
      <c r="G238" s="8"/>
    </row>
    <row r="239" spans="1:7" x14ac:dyDescent="0.35">
      <c r="A239" s="8"/>
      <c r="B239" s="26">
        <v>100</v>
      </c>
      <c r="C239" s="26">
        <f>IF(表5_710111213141516[[#This Row],[姓]]=表5_710111213141516[[#This Row],[男名]]=表5_710111213141516[[#This Row],[女名]]="","",10000000+ROW()-4)</f>
        <v>10000235</v>
      </c>
      <c r="D239" s="32" t="s">
        <v>656</v>
      </c>
      <c r="E239" s="32"/>
      <c r="F239" s="32"/>
      <c r="G239" s="8"/>
    </row>
    <row r="240" spans="1:7" x14ac:dyDescent="0.35">
      <c r="A240" s="8"/>
      <c r="B240" s="26">
        <v>100</v>
      </c>
      <c r="C240" s="26">
        <f>IF(表5_710111213141516[[#This Row],[姓]]=表5_710111213141516[[#This Row],[男名]]=表5_710111213141516[[#This Row],[女名]]="","",10000000+ROW()-4)</f>
        <v>10000236</v>
      </c>
      <c r="D240" s="32" t="s">
        <v>657</v>
      </c>
      <c r="E240" s="32"/>
      <c r="F240" s="32"/>
      <c r="G240" s="8"/>
    </row>
    <row r="241" spans="1:7" x14ac:dyDescent="0.35">
      <c r="A241" s="8"/>
      <c r="B241" s="26">
        <v>100</v>
      </c>
      <c r="C241" s="26">
        <f>IF(表5_710111213141516[[#This Row],[姓]]=表5_710111213141516[[#This Row],[男名]]=表5_710111213141516[[#This Row],[女名]]="","",10000000+ROW()-4)</f>
        <v>10000237</v>
      </c>
      <c r="D241" s="32" t="s">
        <v>658</v>
      </c>
      <c r="E241" s="32"/>
      <c r="F241" s="32"/>
      <c r="G241" s="8"/>
    </row>
    <row r="242" spans="1:7" x14ac:dyDescent="0.35">
      <c r="A242" s="8"/>
      <c r="B242" s="26">
        <v>100</v>
      </c>
      <c r="C242" s="26">
        <f>IF(表5_710111213141516[[#This Row],[姓]]=表5_710111213141516[[#This Row],[男名]]=表5_710111213141516[[#This Row],[女名]]="","",10000000+ROW()-4)</f>
        <v>10000238</v>
      </c>
      <c r="D242" s="32" t="s">
        <v>659</v>
      </c>
      <c r="E242" s="32"/>
      <c r="F242" s="32"/>
      <c r="G242" s="8"/>
    </row>
    <row r="243" spans="1:7" x14ac:dyDescent="0.35">
      <c r="A243" s="8"/>
      <c r="B243" s="26">
        <v>100</v>
      </c>
      <c r="C243" s="26">
        <f>IF(表5_710111213141516[[#This Row],[姓]]=表5_710111213141516[[#This Row],[男名]]=表5_710111213141516[[#This Row],[女名]]="","",10000000+ROW()-4)</f>
        <v>10000239</v>
      </c>
      <c r="D243" s="32" t="s">
        <v>660</v>
      </c>
      <c r="E243" s="32"/>
      <c r="F243" s="32"/>
      <c r="G243" s="8"/>
    </row>
    <row r="244" spans="1:7" x14ac:dyDescent="0.35">
      <c r="A244" s="8"/>
      <c r="B244" s="26">
        <v>100</v>
      </c>
      <c r="C244" s="26">
        <f>IF(表5_710111213141516[[#This Row],[姓]]=表5_710111213141516[[#This Row],[男名]]=表5_710111213141516[[#This Row],[女名]]="","",10000000+ROW()-4)</f>
        <v>10000240</v>
      </c>
      <c r="D244" s="32" t="s">
        <v>661</v>
      </c>
      <c r="E244" s="32"/>
      <c r="F244" s="32"/>
      <c r="G244" s="8"/>
    </row>
    <row r="245" spans="1:7" x14ac:dyDescent="0.35">
      <c r="A245" s="8"/>
      <c r="B245" s="26">
        <v>100</v>
      </c>
      <c r="C245" s="26">
        <f>IF(表5_710111213141516[[#This Row],[姓]]=表5_710111213141516[[#This Row],[男名]]=表5_710111213141516[[#This Row],[女名]]="","",10000000+ROW()-4)</f>
        <v>10000241</v>
      </c>
      <c r="D245" s="32" t="s">
        <v>662</v>
      </c>
      <c r="E245" s="32"/>
      <c r="F245" s="32"/>
      <c r="G245" s="8"/>
    </row>
    <row r="246" spans="1:7" x14ac:dyDescent="0.35">
      <c r="A246" s="8"/>
      <c r="B246" s="26">
        <v>100</v>
      </c>
      <c r="C246" s="26">
        <f>IF(表5_710111213141516[[#This Row],[姓]]=表5_710111213141516[[#This Row],[男名]]=表5_710111213141516[[#This Row],[女名]]="","",10000000+ROW()-4)</f>
        <v>10000242</v>
      </c>
      <c r="D246" s="32" t="s">
        <v>663</v>
      </c>
      <c r="E246" s="32"/>
      <c r="F246" s="32"/>
      <c r="G246" s="8"/>
    </row>
    <row r="247" spans="1:7" x14ac:dyDescent="0.35">
      <c r="A247" s="8"/>
      <c r="B247" s="26">
        <v>100</v>
      </c>
      <c r="C247" s="26">
        <f>IF(表5_710111213141516[[#This Row],[姓]]=表5_710111213141516[[#This Row],[男名]]=表5_710111213141516[[#This Row],[女名]]="","",10000000+ROW()-4)</f>
        <v>10000243</v>
      </c>
      <c r="D247" s="32" t="s">
        <v>664</v>
      </c>
      <c r="E247" s="32"/>
      <c r="F247" s="32"/>
      <c r="G247" s="8"/>
    </row>
    <row r="248" spans="1:7" x14ac:dyDescent="0.35">
      <c r="A248" s="8"/>
      <c r="B248" s="26">
        <v>100</v>
      </c>
      <c r="C248" s="26">
        <f>IF(表5_710111213141516[[#This Row],[姓]]=表5_710111213141516[[#This Row],[男名]]=表5_710111213141516[[#This Row],[女名]]="","",10000000+ROW()-4)</f>
        <v>10000244</v>
      </c>
      <c r="D248" s="32" t="s">
        <v>665</v>
      </c>
      <c r="E248" s="32"/>
      <c r="F248" s="32"/>
      <c r="G248" s="8"/>
    </row>
    <row r="249" spans="1:7" x14ac:dyDescent="0.35">
      <c r="A249" s="8"/>
      <c r="B249" s="26">
        <v>100</v>
      </c>
      <c r="C249" s="26">
        <f>IF(表5_710111213141516[[#This Row],[姓]]=表5_710111213141516[[#This Row],[男名]]=表5_710111213141516[[#This Row],[女名]]="","",10000000+ROW()-4)</f>
        <v>10000245</v>
      </c>
      <c r="D249" s="32" t="s">
        <v>666</v>
      </c>
      <c r="E249" s="32"/>
      <c r="F249" s="32"/>
      <c r="G249" s="8"/>
    </row>
    <row r="250" spans="1:7" x14ac:dyDescent="0.35">
      <c r="A250" s="8"/>
      <c r="B250" s="26">
        <v>100</v>
      </c>
      <c r="C250" s="26">
        <f>IF(表5_710111213141516[[#This Row],[姓]]=表5_710111213141516[[#This Row],[男名]]=表5_710111213141516[[#This Row],[女名]]="","",10000000+ROW()-4)</f>
        <v>10000246</v>
      </c>
      <c r="D250" s="32" t="s">
        <v>667</v>
      </c>
      <c r="E250" s="32"/>
      <c r="F250" s="32"/>
      <c r="G250" s="8"/>
    </row>
    <row r="251" spans="1:7" x14ac:dyDescent="0.35">
      <c r="A251" s="8"/>
      <c r="B251" s="26">
        <v>100</v>
      </c>
      <c r="C251" s="26">
        <f>IF(表5_710111213141516[[#This Row],[姓]]=表5_710111213141516[[#This Row],[男名]]=表5_710111213141516[[#This Row],[女名]]="","",10000000+ROW()-4)</f>
        <v>10000247</v>
      </c>
      <c r="D251" s="32" t="s">
        <v>668</v>
      </c>
      <c r="E251" s="32"/>
      <c r="F251" s="32"/>
      <c r="G251" s="8"/>
    </row>
    <row r="252" spans="1:7" x14ac:dyDescent="0.35">
      <c r="A252" s="8"/>
      <c r="B252" s="26">
        <v>100</v>
      </c>
      <c r="C252" s="26">
        <f>IF(表5_710111213141516[[#This Row],[姓]]=表5_710111213141516[[#This Row],[男名]]=表5_710111213141516[[#This Row],[女名]]="","",10000000+ROW()-4)</f>
        <v>10000248</v>
      </c>
      <c r="D252" s="32" t="s">
        <v>669</v>
      </c>
      <c r="E252" s="32"/>
      <c r="F252" s="32"/>
      <c r="G252" s="8"/>
    </row>
    <row r="253" spans="1:7" x14ac:dyDescent="0.35">
      <c r="A253" s="8"/>
      <c r="B253" s="26">
        <v>100</v>
      </c>
      <c r="C253" s="26">
        <f>IF(表5_710111213141516[[#This Row],[姓]]=表5_710111213141516[[#This Row],[男名]]=表5_710111213141516[[#This Row],[女名]]="","",10000000+ROW()-4)</f>
        <v>10000249</v>
      </c>
      <c r="D253" s="32" t="s">
        <v>670</v>
      </c>
      <c r="E253" s="32"/>
      <c r="F253" s="32"/>
      <c r="G253" s="8"/>
    </row>
    <row r="254" spans="1:7" x14ac:dyDescent="0.35">
      <c r="A254" s="8"/>
      <c r="B254" s="26">
        <v>100</v>
      </c>
      <c r="C254" s="26">
        <f>IF(表5_710111213141516[[#This Row],[姓]]=表5_710111213141516[[#This Row],[男名]]=表5_710111213141516[[#This Row],[女名]]="","",10000000+ROW()-4)</f>
        <v>10000250</v>
      </c>
      <c r="D254" s="32" t="s">
        <v>671</v>
      </c>
      <c r="E254" s="32"/>
      <c r="F254" s="32"/>
      <c r="G254" s="8"/>
    </row>
    <row r="255" spans="1:7" x14ac:dyDescent="0.35">
      <c r="A255" s="8"/>
      <c r="B255" s="26">
        <v>100</v>
      </c>
      <c r="C255" s="26">
        <f>IF(表5_710111213141516[[#This Row],[姓]]=表5_710111213141516[[#This Row],[男名]]=表5_710111213141516[[#This Row],[女名]]="","",10000000+ROW()-4)</f>
        <v>10000251</v>
      </c>
      <c r="D255" s="32" t="s">
        <v>672</v>
      </c>
      <c r="E255" s="32"/>
      <c r="F255" s="32"/>
      <c r="G255" s="8"/>
    </row>
    <row r="256" spans="1:7" x14ac:dyDescent="0.35">
      <c r="A256" s="8"/>
      <c r="B256" s="26">
        <v>100</v>
      </c>
      <c r="C256" s="26">
        <f>IF(表5_710111213141516[[#This Row],[姓]]=表5_710111213141516[[#This Row],[男名]]=表5_710111213141516[[#This Row],[女名]]="","",10000000+ROW()-4)</f>
        <v>10000252</v>
      </c>
      <c r="D256" s="32" t="s">
        <v>673</v>
      </c>
      <c r="E256" s="32"/>
      <c r="F256" s="32"/>
      <c r="G256" s="8"/>
    </row>
    <row r="257" spans="1:7" x14ac:dyDescent="0.35">
      <c r="A257" s="8"/>
      <c r="B257" s="26">
        <v>100</v>
      </c>
      <c r="C257" s="26">
        <f>IF(表5_710111213141516[[#This Row],[姓]]=表5_710111213141516[[#This Row],[男名]]=表5_710111213141516[[#This Row],[女名]]="","",10000000+ROW()-4)</f>
        <v>10000253</v>
      </c>
      <c r="D257" s="32" t="s">
        <v>674</v>
      </c>
      <c r="E257" s="32"/>
      <c r="F257" s="32"/>
      <c r="G257" s="8"/>
    </row>
    <row r="258" spans="1:7" x14ac:dyDescent="0.35">
      <c r="A258" s="8"/>
      <c r="B258" s="26">
        <v>100</v>
      </c>
      <c r="C258" s="26">
        <f>IF(表5_710111213141516[[#This Row],[姓]]=表5_710111213141516[[#This Row],[男名]]=表5_710111213141516[[#This Row],[女名]]="","",10000000+ROW()-4)</f>
        <v>10000254</v>
      </c>
      <c r="D258" s="32" t="s">
        <v>675</v>
      </c>
      <c r="E258" s="32"/>
      <c r="F258" s="32"/>
      <c r="G258" s="8"/>
    </row>
    <row r="259" spans="1:7" x14ac:dyDescent="0.35">
      <c r="A259" s="8"/>
      <c r="B259" s="26">
        <v>100</v>
      </c>
      <c r="C259" s="26">
        <f>IF(表5_710111213141516[[#This Row],[姓]]=表5_710111213141516[[#This Row],[男名]]=表5_710111213141516[[#This Row],[女名]]="","",10000000+ROW()-4)</f>
        <v>10000255</v>
      </c>
      <c r="D259" s="32" t="s">
        <v>676</v>
      </c>
      <c r="E259" s="32"/>
      <c r="F259" s="32"/>
      <c r="G259" s="8"/>
    </row>
    <row r="260" spans="1:7" x14ac:dyDescent="0.35">
      <c r="A260" s="8"/>
      <c r="B260" s="26">
        <v>100</v>
      </c>
      <c r="C260" s="26">
        <f>IF(表5_710111213141516[[#This Row],[姓]]=表5_710111213141516[[#This Row],[男名]]=表5_710111213141516[[#This Row],[女名]]="","",10000000+ROW()-4)</f>
        <v>10000256</v>
      </c>
      <c r="D260" s="32" t="s">
        <v>677</v>
      </c>
      <c r="E260" s="32"/>
      <c r="F260" s="32"/>
      <c r="G260" s="8"/>
    </row>
    <row r="261" spans="1:7" x14ac:dyDescent="0.35">
      <c r="A261" s="8"/>
      <c r="B261" s="26">
        <v>100</v>
      </c>
      <c r="C261" s="26">
        <f>IF(表5_710111213141516[[#This Row],[姓]]=表5_710111213141516[[#This Row],[男名]]=表5_710111213141516[[#This Row],[女名]]="","",10000000+ROW()-4)</f>
        <v>10000257</v>
      </c>
      <c r="D261" s="32" t="s">
        <v>678</v>
      </c>
      <c r="E261" s="32"/>
      <c r="F261" s="32"/>
      <c r="G261" s="8"/>
    </row>
    <row r="262" spans="1:7" x14ac:dyDescent="0.35">
      <c r="A262" s="8"/>
      <c r="B262" s="26">
        <v>100</v>
      </c>
      <c r="C262" s="26">
        <f>IF(表5_710111213141516[[#This Row],[姓]]=表5_710111213141516[[#This Row],[男名]]=表5_710111213141516[[#This Row],[女名]]="","",10000000+ROW()-4)</f>
        <v>10000258</v>
      </c>
      <c r="D262" s="32" t="s">
        <v>679</v>
      </c>
      <c r="E262" s="32"/>
      <c r="F262" s="32"/>
      <c r="G262" s="8"/>
    </row>
    <row r="263" spans="1:7" x14ac:dyDescent="0.35">
      <c r="A263" s="8"/>
      <c r="B263" s="26">
        <v>100</v>
      </c>
      <c r="C263" s="26">
        <f>IF(表5_710111213141516[[#This Row],[姓]]=表5_710111213141516[[#This Row],[男名]]=表5_710111213141516[[#This Row],[女名]]="","",10000000+ROW()-4)</f>
        <v>10000259</v>
      </c>
      <c r="D263" s="32" t="s">
        <v>680</v>
      </c>
      <c r="E263" s="32"/>
      <c r="F263" s="32"/>
      <c r="G263" s="8"/>
    </row>
    <row r="264" spans="1:7" x14ac:dyDescent="0.35">
      <c r="A264" s="8"/>
      <c r="B264" s="26">
        <v>100</v>
      </c>
      <c r="C264" s="26">
        <f>IF(表5_710111213141516[[#This Row],[姓]]=表5_710111213141516[[#This Row],[男名]]=表5_710111213141516[[#This Row],[女名]]="","",10000000+ROW()-4)</f>
        <v>10000260</v>
      </c>
      <c r="D264" s="32" t="s">
        <v>681</v>
      </c>
      <c r="E264" s="32"/>
      <c r="F264" s="32"/>
      <c r="G264" s="8"/>
    </row>
    <row r="265" spans="1:7" x14ac:dyDescent="0.35">
      <c r="A265" s="8"/>
      <c r="B265" s="26">
        <v>100</v>
      </c>
      <c r="C265" s="26">
        <f>IF(表5_710111213141516[[#This Row],[姓]]=表5_710111213141516[[#This Row],[男名]]=表5_710111213141516[[#This Row],[女名]]="","",10000000+ROW()-4)</f>
        <v>10000261</v>
      </c>
      <c r="D265" s="32" t="s">
        <v>682</v>
      </c>
      <c r="E265" s="32"/>
      <c r="F265" s="32"/>
      <c r="G265" s="8"/>
    </row>
    <row r="266" spans="1:7" x14ac:dyDescent="0.35">
      <c r="A266" s="8"/>
      <c r="B266" s="26">
        <v>100</v>
      </c>
      <c r="C266" s="26">
        <f>IF(表5_710111213141516[[#This Row],[姓]]=表5_710111213141516[[#This Row],[男名]]=表5_710111213141516[[#This Row],[女名]]="","",10000000+ROW()-4)</f>
        <v>10000262</v>
      </c>
      <c r="D266" s="32" t="s">
        <v>683</v>
      </c>
      <c r="E266" s="32"/>
      <c r="F266" s="32"/>
      <c r="G266" s="8"/>
    </row>
    <row r="267" spans="1:7" x14ac:dyDescent="0.35">
      <c r="A267" s="8"/>
      <c r="B267" s="26">
        <v>100</v>
      </c>
      <c r="C267" s="26">
        <f>IF(表5_710111213141516[[#This Row],[姓]]=表5_710111213141516[[#This Row],[男名]]=表5_710111213141516[[#This Row],[女名]]="","",10000000+ROW()-4)</f>
        <v>10000263</v>
      </c>
      <c r="D267" s="32" t="s">
        <v>684</v>
      </c>
      <c r="E267" s="32"/>
      <c r="F267" s="32"/>
      <c r="G267" s="8"/>
    </row>
    <row r="268" spans="1:7" x14ac:dyDescent="0.35">
      <c r="A268" s="8"/>
      <c r="B268" s="26">
        <v>100</v>
      </c>
      <c r="C268" s="26">
        <f>IF(表5_710111213141516[[#This Row],[姓]]=表5_710111213141516[[#This Row],[男名]]=表5_710111213141516[[#This Row],[女名]]="","",10000000+ROW()-4)</f>
        <v>10000264</v>
      </c>
      <c r="D268" s="32" t="s">
        <v>685</v>
      </c>
      <c r="E268" s="32"/>
      <c r="F268" s="32"/>
      <c r="G268" s="8"/>
    </row>
    <row r="269" spans="1:7" x14ac:dyDescent="0.35">
      <c r="A269" s="8"/>
      <c r="B269" s="26">
        <v>100</v>
      </c>
      <c r="C269" s="26">
        <f>IF(表5_710111213141516[[#This Row],[姓]]=表5_710111213141516[[#This Row],[男名]]=表5_710111213141516[[#This Row],[女名]]="","",10000000+ROW()-4)</f>
        <v>10000265</v>
      </c>
      <c r="D269" s="32" t="s">
        <v>686</v>
      </c>
      <c r="E269" s="32"/>
      <c r="F269" s="32"/>
      <c r="G269" s="8"/>
    </row>
    <row r="270" spans="1:7" x14ac:dyDescent="0.35">
      <c r="A270" s="8"/>
      <c r="B270" s="26">
        <v>100</v>
      </c>
      <c r="C270" s="26">
        <f>IF(表5_710111213141516[[#This Row],[姓]]=表5_710111213141516[[#This Row],[男名]]=表5_710111213141516[[#This Row],[女名]]="","",10000000+ROW()-4)</f>
        <v>10000266</v>
      </c>
      <c r="D270" s="32" t="s">
        <v>687</v>
      </c>
      <c r="E270" s="32"/>
      <c r="F270" s="32"/>
      <c r="G270" s="8"/>
    </row>
    <row r="271" spans="1:7" x14ac:dyDescent="0.35">
      <c r="A271" s="8"/>
      <c r="B271" s="26">
        <v>100</v>
      </c>
      <c r="C271" s="26">
        <f>IF(表5_710111213141516[[#This Row],[姓]]=表5_710111213141516[[#This Row],[男名]]=表5_710111213141516[[#This Row],[女名]]="","",10000000+ROW()-4)</f>
        <v>10000267</v>
      </c>
      <c r="D271" s="32" t="s">
        <v>688</v>
      </c>
      <c r="E271" s="32"/>
      <c r="F271" s="32"/>
      <c r="G271" s="8"/>
    </row>
    <row r="272" spans="1:7" x14ac:dyDescent="0.35">
      <c r="A272" s="8"/>
      <c r="B272" s="26">
        <v>100</v>
      </c>
      <c r="C272" s="26">
        <f>IF(表5_710111213141516[[#This Row],[姓]]=表5_710111213141516[[#This Row],[男名]]=表5_710111213141516[[#This Row],[女名]]="","",10000000+ROW()-4)</f>
        <v>10000268</v>
      </c>
      <c r="D272" s="32" t="s">
        <v>689</v>
      </c>
      <c r="E272" s="32"/>
      <c r="F272" s="32"/>
      <c r="G272" s="8"/>
    </row>
    <row r="273" spans="1:7" x14ac:dyDescent="0.35">
      <c r="A273" s="8"/>
      <c r="B273" s="26">
        <v>100</v>
      </c>
      <c r="C273" s="26">
        <f>IF(表5_710111213141516[[#This Row],[姓]]=表5_710111213141516[[#This Row],[男名]]=表5_710111213141516[[#This Row],[女名]]="","",10000000+ROW()-4)</f>
        <v>10000269</v>
      </c>
      <c r="D273" s="32" t="s">
        <v>690</v>
      </c>
      <c r="E273" s="32"/>
      <c r="F273" s="32"/>
      <c r="G273" s="8"/>
    </row>
    <row r="274" spans="1:7" x14ac:dyDescent="0.35">
      <c r="A274" s="8"/>
      <c r="B274" s="26">
        <v>100</v>
      </c>
      <c r="C274" s="26">
        <f>IF(表5_710111213141516[[#This Row],[姓]]=表5_710111213141516[[#This Row],[男名]]=表5_710111213141516[[#This Row],[女名]]="","",10000000+ROW()-4)</f>
        <v>10000270</v>
      </c>
      <c r="D274" s="32" t="s">
        <v>691</v>
      </c>
      <c r="E274" s="32"/>
      <c r="F274" s="32"/>
      <c r="G274" s="8"/>
    </row>
    <row r="275" spans="1:7" x14ac:dyDescent="0.35">
      <c r="A275" s="8"/>
      <c r="B275" s="26">
        <v>100</v>
      </c>
      <c r="C275" s="26">
        <f>IF(表5_710111213141516[[#This Row],[姓]]=表5_710111213141516[[#This Row],[男名]]=表5_710111213141516[[#This Row],[女名]]="","",10000000+ROW()-4)</f>
        <v>10000271</v>
      </c>
      <c r="D275" s="32" t="s">
        <v>692</v>
      </c>
      <c r="E275" s="32"/>
      <c r="F275" s="32"/>
      <c r="G275" s="8"/>
    </row>
    <row r="276" spans="1:7" x14ac:dyDescent="0.35">
      <c r="A276" s="8"/>
      <c r="B276" s="26">
        <v>100</v>
      </c>
      <c r="C276" s="26">
        <f>IF(表5_710111213141516[[#This Row],[姓]]=表5_710111213141516[[#This Row],[男名]]=表5_710111213141516[[#This Row],[女名]]="","",10000000+ROW()-4)</f>
        <v>10000272</v>
      </c>
      <c r="D276" s="32" t="s">
        <v>693</v>
      </c>
      <c r="E276" s="32"/>
      <c r="F276" s="32"/>
      <c r="G276" s="8"/>
    </row>
    <row r="277" spans="1:7" x14ac:dyDescent="0.35">
      <c r="A277" s="8"/>
      <c r="B277" s="26">
        <v>100</v>
      </c>
      <c r="C277" s="26">
        <f>IF(表5_710111213141516[[#This Row],[姓]]=表5_710111213141516[[#This Row],[男名]]=表5_710111213141516[[#This Row],[女名]]="","",10000000+ROW()-4)</f>
        <v>10000273</v>
      </c>
      <c r="D277" s="32" t="s">
        <v>694</v>
      </c>
      <c r="E277" s="32"/>
      <c r="F277" s="32"/>
      <c r="G277" s="8"/>
    </row>
    <row r="278" spans="1:7" x14ac:dyDescent="0.35">
      <c r="A278" s="8"/>
      <c r="B278" s="26">
        <v>100</v>
      </c>
      <c r="C278" s="26">
        <f>IF(表5_710111213141516[[#This Row],[姓]]=表5_710111213141516[[#This Row],[男名]]=表5_710111213141516[[#This Row],[女名]]="","",10000000+ROW()-4)</f>
        <v>10000274</v>
      </c>
      <c r="D278" s="32" t="s">
        <v>695</v>
      </c>
      <c r="E278" s="32"/>
      <c r="F278" s="32"/>
      <c r="G278" s="8"/>
    </row>
    <row r="279" spans="1:7" x14ac:dyDescent="0.35">
      <c r="A279" s="8"/>
      <c r="B279" s="26">
        <v>100</v>
      </c>
      <c r="C279" s="26">
        <f>IF(表5_710111213141516[[#This Row],[姓]]=表5_710111213141516[[#This Row],[男名]]=表5_710111213141516[[#This Row],[女名]]="","",10000000+ROW()-4)</f>
        <v>10000275</v>
      </c>
      <c r="D279" s="32" t="s">
        <v>696</v>
      </c>
      <c r="E279" s="32"/>
      <c r="F279" s="32"/>
      <c r="G279" s="8"/>
    </row>
    <row r="280" spans="1:7" x14ac:dyDescent="0.35">
      <c r="A280" s="8"/>
      <c r="B280" s="26">
        <v>100</v>
      </c>
      <c r="C280" s="26">
        <f>IF(表5_710111213141516[[#This Row],[姓]]=表5_710111213141516[[#This Row],[男名]]=表5_710111213141516[[#This Row],[女名]]="","",10000000+ROW()-4)</f>
        <v>10000276</v>
      </c>
      <c r="D280" s="32" t="s">
        <v>697</v>
      </c>
      <c r="E280" s="32"/>
      <c r="F280" s="32"/>
      <c r="G280" s="8"/>
    </row>
    <row r="281" spans="1:7" x14ac:dyDescent="0.35">
      <c r="A281" s="8"/>
      <c r="B281" s="26">
        <v>100</v>
      </c>
      <c r="C281" s="26">
        <f>IF(表5_710111213141516[[#This Row],[姓]]=表5_710111213141516[[#This Row],[男名]]=表5_710111213141516[[#This Row],[女名]]="","",10000000+ROW()-4)</f>
        <v>10000277</v>
      </c>
      <c r="D281" s="32" t="s">
        <v>698</v>
      </c>
      <c r="E281" s="32"/>
      <c r="F281" s="32"/>
      <c r="G281" s="8"/>
    </row>
    <row r="282" spans="1:7" x14ac:dyDescent="0.35">
      <c r="A282" s="8"/>
      <c r="B282" s="26">
        <v>100</v>
      </c>
      <c r="C282" s="26">
        <f>IF(表5_710111213141516[[#This Row],[姓]]=表5_710111213141516[[#This Row],[男名]]=表5_710111213141516[[#This Row],[女名]]="","",10000000+ROW()-4)</f>
        <v>10000278</v>
      </c>
      <c r="D282" s="32" t="s">
        <v>699</v>
      </c>
      <c r="E282" s="32"/>
      <c r="F282" s="32"/>
      <c r="G282" s="8"/>
    </row>
    <row r="283" spans="1:7" x14ac:dyDescent="0.35">
      <c r="A283" s="8"/>
      <c r="B283" s="26">
        <v>100</v>
      </c>
      <c r="C283" s="26">
        <f>IF(表5_710111213141516[[#This Row],[姓]]=表5_710111213141516[[#This Row],[男名]]=表5_710111213141516[[#This Row],[女名]]="","",10000000+ROW()-4)</f>
        <v>10000279</v>
      </c>
      <c r="D283" s="32" t="s">
        <v>700</v>
      </c>
      <c r="E283" s="32"/>
      <c r="F283" s="32"/>
      <c r="G283" s="8"/>
    </row>
    <row r="284" spans="1:7" x14ac:dyDescent="0.35">
      <c r="A284" s="8"/>
      <c r="B284" s="26">
        <v>100</v>
      </c>
      <c r="C284" s="26">
        <f>IF(表5_710111213141516[[#This Row],[姓]]=表5_710111213141516[[#This Row],[男名]]=表5_710111213141516[[#This Row],[女名]]="","",10000000+ROW()-4)</f>
        <v>10000280</v>
      </c>
      <c r="D284" s="32" t="s">
        <v>701</v>
      </c>
      <c r="E284" s="32"/>
      <c r="F284" s="32"/>
      <c r="G284" s="8"/>
    </row>
    <row r="285" spans="1:7" x14ac:dyDescent="0.35">
      <c r="A285" s="8"/>
      <c r="B285" s="26">
        <v>100</v>
      </c>
      <c r="C285" s="26">
        <f>IF(表5_710111213141516[[#This Row],[姓]]=表5_710111213141516[[#This Row],[男名]]=表5_710111213141516[[#This Row],[女名]]="","",10000000+ROW()-4)</f>
        <v>10000281</v>
      </c>
      <c r="D285" s="32" t="s">
        <v>702</v>
      </c>
      <c r="E285" s="32"/>
      <c r="F285" s="32"/>
      <c r="G285" s="8"/>
    </row>
    <row r="286" spans="1:7" x14ac:dyDescent="0.35">
      <c r="A286" s="8"/>
      <c r="B286" s="26">
        <v>100</v>
      </c>
      <c r="C286" s="26">
        <f>IF(表5_710111213141516[[#This Row],[姓]]=表5_710111213141516[[#This Row],[男名]]=表5_710111213141516[[#This Row],[女名]]="","",10000000+ROW()-4)</f>
        <v>10000282</v>
      </c>
      <c r="D286" s="32" t="s">
        <v>703</v>
      </c>
      <c r="E286" s="32"/>
      <c r="F286" s="32"/>
      <c r="G286" s="8"/>
    </row>
    <row r="287" spans="1:7" x14ac:dyDescent="0.35">
      <c r="A287" s="8"/>
      <c r="B287" s="26">
        <v>100</v>
      </c>
      <c r="C287" s="26">
        <f>IF(表5_710111213141516[[#This Row],[姓]]=表5_710111213141516[[#This Row],[男名]]=表5_710111213141516[[#This Row],[女名]]="","",10000000+ROW()-4)</f>
        <v>10000283</v>
      </c>
      <c r="D287" s="32" t="s">
        <v>704</v>
      </c>
      <c r="E287" s="32"/>
      <c r="F287" s="32"/>
      <c r="G287" s="8"/>
    </row>
    <row r="288" spans="1:7" x14ac:dyDescent="0.35">
      <c r="A288" s="8"/>
      <c r="B288" s="26">
        <v>100</v>
      </c>
      <c r="C288" s="26">
        <f>IF(表5_710111213141516[[#This Row],[姓]]=表5_710111213141516[[#This Row],[男名]]=表5_710111213141516[[#This Row],[女名]]="","",10000000+ROW()-4)</f>
        <v>10000284</v>
      </c>
      <c r="D288" s="32" t="s">
        <v>705</v>
      </c>
      <c r="E288" s="32"/>
      <c r="F288" s="32"/>
      <c r="G288" s="8"/>
    </row>
    <row r="289" spans="1:7" x14ac:dyDescent="0.35">
      <c r="A289" s="8"/>
      <c r="B289" s="26">
        <v>100</v>
      </c>
      <c r="C289" s="26">
        <f>IF(表5_710111213141516[[#This Row],[姓]]=表5_710111213141516[[#This Row],[男名]]=表5_710111213141516[[#This Row],[女名]]="","",10000000+ROW()-4)</f>
        <v>10000285</v>
      </c>
      <c r="D289" s="32" t="s">
        <v>706</v>
      </c>
      <c r="E289" s="32"/>
      <c r="F289" s="32"/>
      <c r="G289" s="8"/>
    </row>
    <row r="290" spans="1:7" x14ac:dyDescent="0.35">
      <c r="A290" s="8"/>
      <c r="B290" s="26">
        <v>100</v>
      </c>
      <c r="C290" s="26">
        <f>IF(表5_710111213141516[[#This Row],[姓]]=表5_710111213141516[[#This Row],[男名]]=表5_710111213141516[[#This Row],[女名]]="","",10000000+ROW()-4)</f>
        <v>10000286</v>
      </c>
      <c r="D290" s="32" t="s">
        <v>707</v>
      </c>
      <c r="E290" s="32"/>
      <c r="F290" s="32"/>
      <c r="G290" s="8"/>
    </row>
    <row r="291" spans="1:7" x14ac:dyDescent="0.35">
      <c r="A291" s="8"/>
      <c r="B291" s="26">
        <v>100</v>
      </c>
      <c r="C291" s="26">
        <f>IF(表5_710111213141516[[#This Row],[姓]]=表5_710111213141516[[#This Row],[男名]]=表5_710111213141516[[#This Row],[女名]]="","",10000000+ROW()-4)</f>
        <v>10000287</v>
      </c>
      <c r="D291" s="32" t="s">
        <v>708</v>
      </c>
      <c r="E291" s="32"/>
      <c r="F291" s="32"/>
      <c r="G291" s="8"/>
    </row>
    <row r="292" spans="1:7" x14ac:dyDescent="0.35">
      <c r="A292" s="8"/>
      <c r="B292" s="26">
        <v>100</v>
      </c>
      <c r="C292" s="26">
        <f>IF(表5_710111213141516[[#This Row],[姓]]=表5_710111213141516[[#This Row],[男名]]=表5_710111213141516[[#This Row],[女名]]="","",10000000+ROW()-4)</f>
        <v>10000288</v>
      </c>
      <c r="D292" s="32" t="s">
        <v>709</v>
      </c>
      <c r="E292" s="32"/>
      <c r="F292" s="32"/>
      <c r="G292" s="8"/>
    </row>
    <row r="293" spans="1:7" x14ac:dyDescent="0.35">
      <c r="A293" s="8"/>
      <c r="B293" s="26">
        <v>100</v>
      </c>
      <c r="C293" s="26">
        <f>IF(表5_710111213141516[[#This Row],[姓]]=表5_710111213141516[[#This Row],[男名]]=表5_710111213141516[[#This Row],[女名]]="","",10000000+ROW()-4)</f>
        <v>10000289</v>
      </c>
      <c r="D293" s="32" t="s">
        <v>710</v>
      </c>
      <c r="E293" s="32"/>
      <c r="F293" s="32"/>
      <c r="G293" s="8"/>
    </row>
    <row r="294" spans="1:7" x14ac:dyDescent="0.35">
      <c r="A294" s="8"/>
      <c r="B294" s="26">
        <v>100</v>
      </c>
      <c r="C294" s="26">
        <f>IF(表5_710111213141516[[#This Row],[姓]]=表5_710111213141516[[#This Row],[男名]]=表5_710111213141516[[#This Row],[女名]]="","",10000000+ROW()-4)</f>
        <v>10000290</v>
      </c>
      <c r="D294" s="32" t="s">
        <v>711</v>
      </c>
      <c r="E294" s="32"/>
      <c r="F294" s="32"/>
      <c r="G294" s="8"/>
    </row>
    <row r="295" spans="1:7" x14ac:dyDescent="0.35">
      <c r="A295" s="8"/>
      <c r="B295" s="26">
        <v>100</v>
      </c>
      <c r="C295" s="26">
        <f>IF(表5_710111213141516[[#This Row],[姓]]=表5_710111213141516[[#This Row],[男名]]=表5_710111213141516[[#This Row],[女名]]="","",10000000+ROW()-4)</f>
        <v>10000291</v>
      </c>
      <c r="D295" s="32" t="s">
        <v>712</v>
      </c>
      <c r="E295" s="32"/>
      <c r="F295" s="32"/>
      <c r="G295" s="8"/>
    </row>
    <row r="296" spans="1:7" x14ac:dyDescent="0.35">
      <c r="A296" s="8"/>
      <c r="B296" s="26">
        <v>100</v>
      </c>
      <c r="C296" s="26">
        <f>IF(表5_710111213141516[[#This Row],[姓]]=表5_710111213141516[[#This Row],[男名]]=表5_710111213141516[[#This Row],[女名]]="","",10000000+ROW()-4)</f>
        <v>10000292</v>
      </c>
      <c r="D296" s="32" t="s">
        <v>713</v>
      </c>
      <c r="E296" s="32"/>
      <c r="F296" s="32"/>
      <c r="G296" s="8"/>
    </row>
    <row r="297" spans="1:7" x14ac:dyDescent="0.35">
      <c r="A297" s="8"/>
      <c r="B297" s="26">
        <v>100</v>
      </c>
      <c r="C297" s="26">
        <f>IF(表5_710111213141516[[#This Row],[姓]]=表5_710111213141516[[#This Row],[男名]]=表5_710111213141516[[#This Row],[女名]]="","",10000000+ROW()-4)</f>
        <v>10000293</v>
      </c>
      <c r="D297" s="32" t="s">
        <v>714</v>
      </c>
      <c r="E297" s="32"/>
      <c r="F297" s="32"/>
      <c r="G297" s="8"/>
    </row>
    <row r="298" spans="1:7" x14ac:dyDescent="0.35">
      <c r="A298" s="8"/>
      <c r="B298" s="26">
        <v>100</v>
      </c>
      <c r="C298" s="26">
        <f>IF(表5_710111213141516[[#This Row],[姓]]=表5_710111213141516[[#This Row],[男名]]=表5_710111213141516[[#This Row],[女名]]="","",10000000+ROW()-4)</f>
        <v>10000294</v>
      </c>
      <c r="D298" s="32" t="s">
        <v>715</v>
      </c>
      <c r="E298" s="32"/>
      <c r="F298" s="32"/>
      <c r="G298" s="8"/>
    </row>
    <row r="299" spans="1:7" x14ac:dyDescent="0.35">
      <c r="A299" s="8"/>
      <c r="B299" s="26">
        <v>100</v>
      </c>
      <c r="C299" s="26">
        <f>IF(表5_710111213141516[[#This Row],[姓]]=表5_710111213141516[[#This Row],[男名]]=表5_710111213141516[[#This Row],[女名]]="","",10000000+ROW()-4)</f>
        <v>10000295</v>
      </c>
      <c r="D299" s="32" t="s">
        <v>716</v>
      </c>
      <c r="E299" s="32"/>
      <c r="F299" s="32"/>
      <c r="G299" s="8"/>
    </row>
    <row r="300" spans="1:7" x14ac:dyDescent="0.35">
      <c r="A300" s="8"/>
      <c r="B300" s="26">
        <v>100</v>
      </c>
      <c r="C300" s="26">
        <f>IF(表5_710111213141516[[#This Row],[姓]]=表5_710111213141516[[#This Row],[男名]]=表5_710111213141516[[#This Row],[女名]]="","",10000000+ROW()-4)</f>
        <v>10000296</v>
      </c>
      <c r="D300" s="32" t="s">
        <v>717</v>
      </c>
      <c r="E300" s="32"/>
      <c r="F300" s="32"/>
      <c r="G300" s="8"/>
    </row>
    <row r="301" spans="1:7" x14ac:dyDescent="0.35">
      <c r="A301" s="8"/>
      <c r="B301" s="26">
        <v>100</v>
      </c>
      <c r="C301" s="26">
        <f>IF(表5_710111213141516[[#This Row],[姓]]=表5_710111213141516[[#This Row],[男名]]=表5_710111213141516[[#This Row],[女名]]="","",10000000+ROW()-4)</f>
        <v>10000297</v>
      </c>
      <c r="D301" s="32" t="s">
        <v>718</v>
      </c>
      <c r="E301" s="32"/>
      <c r="F301" s="32"/>
      <c r="G301" s="8"/>
    </row>
    <row r="302" spans="1:7" x14ac:dyDescent="0.35">
      <c r="A302" s="8"/>
      <c r="B302" s="26">
        <v>100</v>
      </c>
      <c r="C302" s="26">
        <f>IF(表5_710111213141516[[#This Row],[姓]]=表5_710111213141516[[#This Row],[男名]]=表5_710111213141516[[#This Row],[女名]]="","",10000000+ROW()-4)</f>
        <v>10000298</v>
      </c>
      <c r="D302" s="32" t="s">
        <v>719</v>
      </c>
      <c r="E302" s="32"/>
      <c r="F302" s="32"/>
      <c r="G302" s="8"/>
    </row>
    <row r="303" spans="1:7" x14ac:dyDescent="0.35">
      <c r="A303" s="8"/>
      <c r="B303" s="26">
        <v>100</v>
      </c>
      <c r="C303" s="26">
        <f>IF(表5_710111213141516[[#This Row],[姓]]=表5_710111213141516[[#This Row],[男名]]=表5_710111213141516[[#This Row],[女名]]="","",10000000+ROW()-4)</f>
        <v>10000299</v>
      </c>
      <c r="D303" s="32" t="s">
        <v>720</v>
      </c>
      <c r="E303" s="32"/>
      <c r="F303" s="32"/>
      <c r="G303" s="8"/>
    </row>
    <row r="304" spans="1:7" x14ac:dyDescent="0.35">
      <c r="A304" s="8"/>
      <c r="B304" s="26">
        <v>100</v>
      </c>
      <c r="C304" s="26">
        <f>IF(表5_710111213141516[[#This Row],[姓]]=表5_710111213141516[[#This Row],[男名]]=表5_710111213141516[[#This Row],[女名]]="","",10000000+ROW()-4)</f>
        <v>10000300</v>
      </c>
      <c r="D304" s="32" t="s">
        <v>721</v>
      </c>
      <c r="E304" s="32"/>
      <c r="F304" s="32"/>
      <c r="G304" s="8"/>
    </row>
    <row r="305" spans="1:7" x14ac:dyDescent="0.35">
      <c r="A305" s="8"/>
      <c r="B305" s="26">
        <v>100</v>
      </c>
      <c r="C305" s="26">
        <f>IF(表5_710111213141516[[#This Row],[姓]]=表5_710111213141516[[#This Row],[男名]]=表5_710111213141516[[#This Row],[女名]]="","",10000000+ROW()-4)</f>
        <v>10000301</v>
      </c>
      <c r="D305" s="32" t="s">
        <v>722</v>
      </c>
      <c r="E305" s="32"/>
      <c r="F305" s="32"/>
      <c r="G305" s="8"/>
    </row>
    <row r="306" spans="1:7" x14ac:dyDescent="0.35">
      <c r="A306" s="8"/>
      <c r="B306" s="26">
        <v>100</v>
      </c>
      <c r="C306" s="26">
        <f>IF(表5_710111213141516[[#This Row],[姓]]=表5_710111213141516[[#This Row],[男名]]=表5_710111213141516[[#This Row],[女名]]="","",10000000+ROW()-4)</f>
        <v>10000302</v>
      </c>
      <c r="D306" s="32" t="s">
        <v>723</v>
      </c>
      <c r="E306" s="32"/>
      <c r="F306" s="32"/>
      <c r="G306" s="8"/>
    </row>
    <row r="307" spans="1:7" x14ac:dyDescent="0.35">
      <c r="A307" s="8"/>
      <c r="B307" s="26">
        <v>100</v>
      </c>
      <c r="C307" s="26">
        <f>IF(表5_710111213141516[[#This Row],[姓]]=表5_710111213141516[[#This Row],[男名]]=表5_710111213141516[[#This Row],[女名]]="","",10000000+ROW()-4)</f>
        <v>10000303</v>
      </c>
      <c r="D307" s="32" t="s">
        <v>724</v>
      </c>
      <c r="E307" s="32"/>
      <c r="F307" s="32"/>
      <c r="G307" s="8"/>
    </row>
    <row r="308" spans="1:7" x14ac:dyDescent="0.35">
      <c r="A308" s="8"/>
      <c r="B308" s="26">
        <v>100</v>
      </c>
      <c r="C308" s="26">
        <f>IF(表5_710111213141516[[#This Row],[姓]]=表5_710111213141516[[#This Row],[男名]]=表5_710111213141516[[#This Row],[女名]]="","",10000000+ROW()-4)</f>
        <v>10000304</v>
      </c>
      <c r="D308" s="32" t="s">
        <v>725</v>
      </c>
      <c r="E308" s="32"/>
      <c r="F308" s="32"/>
      <c r="G308" s="8"/>
    </row>
    <row r="309" spans="1:7" x14ac:dyDescent="0.35">
      <c r="A309" s="8"/>
      <c r="B309" s="26">
        <v>100</v>
      </c>
      <c r="C309" s="26">
        <f>IF(表5_710111213141516[[#This Row],[姓]]=表5_710111213141516[[#This Row],[男名]]=表5_710111213141516[[#This Row],[女名]]="","",10000000+ROW()-4)</f>
        <v>10000305</v>
      </c>
      <c r="D309" s="32" t="s">
        <v>726</v>
      </c>
      <c r="E309" s="32"/>
      <c r="F309" s="32"/>
      <c r="G309" s="8"/>
    </row>
    <row r="310" spans="1:7" x14ac:dyDescent="0.35">
      <c r="A310" s="8"/>
      <c r="B310" s="26">
        <v>100</v>
      </c>
      <c r="C310" s="26">
        <f>IF(表5_710111213141516[[#This Row],[姓]]=表5_710111213141516[[#This Row],[男名]]=表5_710111213141516[[#This Row],[女名]]="","",10000000+ROW()-4)</f>
        <v>10000306</v>
      </c>
      <c r="D310" s="32" t="s">
        <v>727</v>
      </c>
      <c r="E310" s="32"/>
      <c r="F310" s="32"/>
      <c r="G310" s="8"/>
    </row>
    <row r="311" spans="1:7" x14ac:dyDescent="0.35">
      <c r="A311" s="8"/>
      <c r="B311" s="26">
        <v>100</v>
      </c>
      <c r="C311" s="26">
        <f>IF(表5_710111213141516[[#This Row],[姓]]=表5_710111213141516[[#This Row],[男名]]=表5_710111213141516[[#This Row],[女名]]="","",10000000+ROW()-4)</f>
        <v>10000307</v>
      </c>
      <c r="D311" s="32" t="s">
        <v>728</v>
      </c>
      <c r="E311" s="32"/>
      <c r="F311" s="32"/>
      <c r="G311" s="8"/>
    </row>
    <row r="312" spans="1:7" x14ac:dyDescent="0.35">
      <c r="A312" s="8"/>
      <c r="B312" s="26">
        <v>100</v>
      </c>
      <c r="C312" s="26">
        <f>IF(表5_710111213141516[[#This Row],[姓]]=表5_710111213141516[[#This Row],[男名]]=表5_710111213141516[[#This Row],[女名]]="","",10000000+ROW()-4)</f>
        <v>10000308</v>
      </c>
      <c r="D312" s="32" t="s">
        <v>729</v>
      </c>
      <c r="E312" s="32"/>
      <c r="F312" s="32"/>
      <c r="G312" s="8"/>
    </row>
    <row r="313" spans="1:7" x14ac:dyDescent="0.35">
      <c r="A313" s="8"/>
      <c r="B313" s="26">
        <v>100</v>
      </c>
      <c r="C313" s="26">
        <f>IF(表5_710111213141516[[#This Row],[姓]]=表5_710111213141516[[#This Row],[男名]]=表5_710111213141516[[#This Row],[女名]]="","",10000000+ROW()-4)</f>
        <v>10000309</v>
      </c>
      <c r="D313" s="32" t="s">
        <v>730</v>
      </c>
      <c r="E313" s="32"/>
      <c r="F313" s="32"/>
      <c r="G313" s="8"/>
    </row>
    <row r="314" spans="1:7" x14ac:dyDescent="0.35">
      <c r="A314" s="8"/>
      <c r="B314" s="26">
        <v>100</v>
      </c>
      <c r="C314" s="26">
        <f>IF(表5_710111213141516[[#This Row],[姓]]=表5_710111213141516[[#This Row],[男名]]=表5_710111213141516[[#This Row],[女名]]="","",10000000+ROW()-4)</f>
        <v>10000310</v>
      </c>
      <c r="D314" s="32" t="s">
        <v>731</v>
      </c>
      <c r="E314" s="32"/>
      <c r="F314" s="32"/>
      <c r="G314" s="8"/>
    </row>
    <row r="315" spans="1:7" x14ac:dyDescent="0.35">
      <c r="A315" s="8"/>
      <c r="B315" s="26">
        <v>100</v>
      </c>
      <c r="C315" s="26">
        <f>IF(表5_710111213141516[[#This Row],[姓]]=表5_710111213141516[[#This Row],[男名]]=表5_710111213141516[[#This Row],[女名]]="","",10000000+ROW()-4)</f>
        <v>10000311</v>
      </c>
      <c r="D315" s="32" t="s">
        <v>732</v>
      </c>
      <c r="E315" s="32"/>
      <c r="F315" s="32"/>
      <c r="G315" s="8"/>
    </row>
    <row r="316" spans="1:7" x14ac:dyDescent="0.35">
      <c r="A316" s="8"/>
      <c r="B316" s="26">
        <v>100</v>
      </c>
      <c r="C316" s="26">
        <f>IF(表5_710111213141516[[#This Row],[姓]]=表5_710111213141516[[#This Row],[男名]]=表5_710111213141516[[#This Row],[女名]]="","",10000000+ROW()-4)</f>
        <v>10000312</v>
      </c>
      <c r="D316" s="32" t="s">
        <v>733</v>
      </c>
      <c r="E316" s="32"/>
      <c r="F316" s="32"/>
      <c r="G316" s="8"/>
    </row>
    <row r="317" spans="1:7" x14ac:dyDescent="0.35">
      <c r="A317" s="8"/>
      <c r="B317" s="26">
        <v>100</v>
      </c>
      <c r="C317" s="26">
        <f>IF(表5_710111213141516[[#This Row],[姓]]=表5_710111213141516[[#This Row],[男名]]=表5_710111213141516[[#This Row],[女名]]="","",10000000+ROW()-4)</f>
        <v>10000313</v>
      </c>
      <c r="D317" s="32" t="s">
        <v>734</v>
      </c>
      <c r="E317" s="32"/>
      <c r="F317" s="32"/>
      <c r="G317" s="8"/>
    </row>
    <row r="318" spans="1:7" x14ac:dyDescent="0.35">
      <c r="A318" s="8"/>
      <c r="B318" s="26">
        <v>100</v>
      </c>
      <c r="C318" s="26">
        <f>IF(表5_710111213141516[[#This Row],[姓]]=表5_710111213141516[[#This Row],[男名]]=表5_710111213141516[[#This Row],[女名]]="","",10000000+ROW()-4)</f>
        <v>10000314</v>
      </c>
      <c r="D318" s="32" t="s">
        <v>735</v>
      </c>
      <c r="E318" s="32"/>
      <c r="F318" s="32"/>
      <c r="G318" s="8"/>
    </row>
    <row r="319" spans="1:7" x14ac:dyDescent="0.35">
      <c r="A319" s="8"/>
      <c r="B319" s="26">
        <v>100</v>
      </c>
      <c r="C319" s="26">
        <f>IF(表5_710111213141516[[#This Row],[姓]]=表5_710111213141516[[#This Row],[男名]]=表5_710111213141516[[#This Row],[女名]]="","",10000000+ROW()-4)</f>
        <v>10000315</v>
      </c>
      <c r="D319" s="32" t="s">
        <v>736</v>
      </c>
      <c r="E319" s="32"/>
      <c r="F319" s="32"/>
      <c r="G319" s="8"/>
    </row>
    <row r="320" spans="1:7" x14ac:dyDescent="0.35">
      <c r="A320" s="8"/>
      <c r="B320" s="26">
        <v>100</v>
      </c>
      <c r="C320" s="26">
        <f>IF(表5_710111213141516[[#This Row],[姓]]=表5_710111213141516[[#This Row],[男名]]=表5_710111213141516[[#This Row],[女名]]="","",10000000+ROW()-4)</f>
        <v>10000316</v>
      </c>
      <c r="D320" s="32" t="s">
        <v>737</v>
      </c>
      <c r="E320" s="32"/>
      <c r="F320" s="32"/>
      <c r="G320" s="8"/>
    </row>
    <row r="321" spans="1:7" x14ac:dyDescent="0.35">
      <c r="A321" s="8"/>
      <c r="B321" s="26">
        <v>100</v>
      </c>
      <c r="C321" s="26">
        <f>IF(表5_710111213141516[[#This Row],[姓]]=表5_710111213141516[[#This Row],[男名]]=表5_710111213141516[[#This Row],[女名]]="","",10000000+ROW()-4)</f>
        <v>10000317</v>
      </c>
      <c r="D321" s="32" t="s">
        <v>738</v>
      </c>
      <c r="E321" s="32"/>
      <c r="F321" s="32"/>
      <c r="G321" s="8"/>
    </row>
    <row r="322" spans="1:7" x14ac:dyDescent="0.35">
      <c r="A322" s="8"/>
      <c r="B322" s="26">
        <v>100</v>
      </c>
      <c r="C322" s="26">
        <f>IF(表5_710111213141516[[#This Row],[姓]]=表5_710111213141516[[#This Row],[男名]]=表5_710111213141516[[#This Row],[女名]]="","",10000000+ROW()-4)</f>
        <v>10000318</v>
      </c>
      <c r="D322" s="32" t="s">
        <v>739</v>
      </c>
      <c r="E322" s="32"/>
      <c r="F322" s="32"/>
      <c r="G322" s="8"/>
    </row>
    <row r="323" spans="1:7" x14ac:dyDescent="0.35">
      <c r="A323" s="8"/>
      <c r="B323" s="26">
        <v>100</v>
      </c>
      <c r="C323" s="26">
        <f>IF(表5_710111213141516[[#This Row],[姓]]=表5_710111213141516[[#This Row],[男名]]=表5_710111213141516[[#This Row],[女名]]="","",10000000+ROW()-4)</f>
        <v>10000319</v>
      </c>
      <c r="D323" s="32" t="s">
        <v>740</v>
      </c>
      <c r="E323" s="32"/>
      <c r="F323" s="32"/>
      <c r="G323" s="8"/>
    </row>
    <row r="324" spans="1:7" x14ac:dyDescent="0.35">
      <c r="A324" s="8"/>
      <c r="B324" s="26">
        <v>100</v>
      </c>
      <c r="C324" s="26">
        <f>IF(表5_710111213141516[[#This Row],[姓]]=表5_710111213141516[[#This Row],[男名]]=表5_710111213141516[[#This Row],[女名]]="","",10000000+ROW()-4)</f>
        <v>10000320</v>
      </c>
      <c r="D324" s="32" t="s">
        <v>741</v>
      </c>
      <c r="E324" s="32"/>
      <c r="F324" s="32"/>
      <c r="G324" s="8"/>
    </row>
    <row r="325" spans="1:7" x14ac:dyDescent="0.35">
      <c r="A325" s="8"/>
      <c r="B325" s="26">
        <v>100</v>
      </c>
      <c r="C325" s="26">
        <f>IF(表5_710111213141516[[#This Row],[姓]]=表5_710111213141516[[#This Row],[男名]]=表5_710111213141516[[#This Row],[女名]]="","",10000000+ROW()-4)</f>
        <v>10000321</v>
      </c>
      <c r="D325" s="32" t="s">
        <v>742</v>
      </c>
      <c r="E325" s="32"/>
      <c r="F325" s="32"/>
      <c r="G325" s="8"/>
    </row>
    <row r="326" spans="1:7" x14ac:dyDescent="0.35">
      <c r="A326" s="8"/>
      <c r="B326" s="26">
        <v>100</v>
      </c>
      <c r="C326" s="26">
        <f>IF(表5_710111213141516[[#This Row],[姓]]=表5_710111213141516[[#This Row],[男名]]=表5_710111213141516[[#This Row],[女名]]="","",10000000+ROW()-4)</f>
        <v>10000322</v>
      </c>
      <c r="D326" s="32" t="s">
        <v>743</v>
      </c>
      <c r="E326" s="32"/>
      <c r="F326" s="32"/>
      <c r="G326" s="8"/>
    </row>
    <row r="327" spans="1:7" x14ac:dyDescent="0.35">
      <c r="A327" s="8"/>
      <c r="B327" s="26">
        <v>100</v>
      </c>
      <c r="C327" s="26">
        <f>IF(表5_710111213141516[[#This Row],[姓]]=表5_710111213141516[[#This Row],[男名]]=表5_710111213141516[[#This Row],[女名]]="","",10000000+ROW()-4)</f>
        <v>10000323</v>
      </c>
      <c r="D327" s="32" t="s">
        <v>744</v>
      </c>
      <c r="E327" s="32"/>
      <c r="F327" s="32"/>
      <c r="G327" s="8"/>
    </row>
    <row r="328" spans="1:7" x14ac:dyDescent="0.35">
      <c r="A328" s="8"/>
      <c r="B328" s="26">
        <v>100</v>
      </c>
      <c r="C328" s="26">
        <f>IF(表5_710111213141516[[#This Row],[姓]]=表5_710111213141516[[#This Row],[男名]]=表5_710111213141516[[#This Row],[女名]]="","",10000000+ROW()-4)</f>
        <v>10000324</v>
      </c>
      <c r="D328" s="32" t="s">
        <v>745</v>
      </c>
      <c r="E328" s="32"/>
      <c r="F328" s="32"/>
      <c r="G328" s="8"/>
    </row>
    <row r="329" spans="1:7" x14ac:dyDescent="0.35">
      <c r="A329" s="8"/>
      <c r="B329" s="26">
        <v>100</v>
      </c>
      <c r="C329" s="26">
        <f>IF(表5_710111213141516[[#This Row],[姓]]=表5_710111213141516[[#This Row],[男名]]=表5_710111213141516[[#This Row],[女名]]="","",10000000+ROW()-4)</f>
        <v>10000325</v>
      </c>
      <c r="D329" s="32" t="s">
        <v>746</v>
      </c>
      <c r="E329" s="32"/>
      <c r="F329" s="32"/>
      <c r="G329" s="8"/>
    </row>
    <row r="330" spans="1:7" x14ac:dyDescent="0.35">
      <c r="A330" s="8"/>
      <c r="B330" s="26">
        <v>100</v>
      </c>
      <c r="C330" s="26">
        <f>IF(表5_710111213141516[[#This Row],[姓]]=表5_710111213141516[[#This Row],[男名]]=表5_710111213141516[[#This Row],[女名]]="","",10000000+ROW()-4)</f>
        <v>10000326</v>
      </c>
      <c r="D330" s="32" t="s">
        <v>747</v>
      </c>
      <c r="E330" s="32"/>
      <c r="F330" s="32"/>
      <c r="G330" s="8"/>
    </row>
    <row r="331" spans="1:7" x14ac:dyDescent="0.35">
      <c r="A331" s="8"/>
      <c r="B331" s="26">
        <v>100</v>
      </c>
      <c r="C331" s="26">
        <f>IF(表5_710111213141516[[#This Row],[姓]]=表5_710111213141516[[#This Row],[男名]]=表5_710111213141516[[#This Row],[女名]]="","",10000000+ROW()-4)</f>
        <v>10000327</v>
      </c>
      <c r="D331" s="32" t="s">
        <v>748</v>
      </c>
      <c r="E331" s="32"/>
      <c r="F331" s="32"/>
      <c r="G331" s="8"/>
    </row>
    <row r="332" spans="1:7" x14ac:dyDescent="0.35">
      <c r="A332" s="8"/>
      <c r="B332" s="26">
        <v>100</v>
      </c>
      <c r="C332" s="26">
        <f>IF(表5_710111213141516[[#This Row],[姓]]=表5_710111213141516[[#This Row],[男名]]=表5_710111213141516[[#This Row],[女名]]="","",10000000+ROW()-4)</f>
        <v>10000328</v>
      </c>
      <c r="D332" s="32" t="s">
        <v>749</v>
      </c>
      <c r="E332" s="32"/>
      <c r="F332" s="32"/>
      <c r="G332" s="8"/>
    </row>
    <row r="333" spans="1:7" x14ac:dyDescent="0.35">
      <c r="A333" s="8"/>
      <c r="B333" s="26">
        <v>100</v>
      </c>
      <c r="C333" s="26">
        <f>IF(表5_710111213141516[[#This Row],[姓]]=表5_710111213141516[[#This Row],[男名]]=表5_710111213141516[[#This Row],[女名]]="","",10000000+ROW()-4)</f>
        <v>10000329</v>
      </c>
      <c r="D333" s="32" t="s">
        <v>750</v>
      </c>
      <c r="E333" s="32"/>
      <c r="F333" s="32"/>
      <c r="G333" s="8"/>
    </row>
    <row r="334" spans="1:7" x14ac:dyDescent="0.35">
      <c r="A334" s="8"/>
      <c r="B334" s="26">
        <v>100</v>
      </c>
      <c r="C334" s="26">
        <f>IF(表5_710111213141516[[#This Row],[姓]]=表5_710111213141516[[#This Row],[男名]]=表5_710111213141516[[#This Row],[女名]]="","",10000000+ROW()-4)</f>
        <v>10000330</v>
      </c>
      <c r="D334" s="32" t="s">
        <v>751</v>
      </c>
      <c r="E334" s="32"/>
      <c r="F334" s="32"/>
      <c r="G334" s="8"/>
    </row>
    <row r="335" spans="1:7" x14ac:dyDescent="0.35">
      <c r="A335" s="8"/>
      <c r="B335" s="26">
        <v>100</v>
      </c>
      <c r="C335" s="26">
        <f>IF(表5_710111213141516[[#This Row],[姓]]=表5_710111213141516[[#This Row],[男名]]=表5_710111213141516[[#This Row],[女名]]="","",10000000+ROW()-4)</f>
        <v>10000331</v>
      </c>
      <c r="D335" s="32" t="s">
        <v>752</v>
      </c>
      <c r="E335" s="32"/>
      <c r="F335" s="32"/>
      <c r="G335" s="8"/>
    </row>
    <row r="336" spans="1:7" x14ac:dyDescent="0.35">
      <c r="A336" s="8"/>
      <c r="B336" s="26">
        <v>100</v>
      </c>
      <c r="C336" s="26">
        <f>IF(表5_710111213141516[[#This Row],[姓]]=表5_710111213141516[[#This Row],[男名]]=表5_710111213141516[[#This Row],[女名]]="","",10000000+ROW()-4)</f>
        <v>10000332</v>
      </c>
      <c r="D336" s="32" t="s">
        <v>753</v>
      </c>
      <c r="E336" s="32"/>
      <c r="F336" s="32"/>
      <c r="G336" s="8"/>
    </row>
    <row r="337" spans="1:7" x14ac:dyDescent="0.35">
      <c r="A337" s="8"/>
      <c r="B337" s="26">
        <v>100</v>
      </c>
      <c r="C337" s="26">
        <f>IF(表5_710111213141516[[#This Row],[姓]]=表5_710111213141516[[#This Row],[男名]]=表5_710111213141516[[#This Row],[女名]]="","",10000000+ROW()-4)</f>
        <v>10000333</v>
      </c>
      <c r="D337" s="32" t="s">
        <v>754</v>
      </c>
      <c r="E337" s="32"/>
      <c r="F337" s="32"/>
      <c r="G337" s="8"/>
    </row>
    <row r="338" spans="1:7" x14ac:dyDescent="0.35">
      <c r="A338" s="8"/>
      <c r="B338" s="26">
        <v>100</v>
      </c>
      <c r="C338" s="26">
        <f>IF(表5_710111213141516[[#This Row],[姓]]=表5_710111213141516[[#This Row],[男名]]=表5_710111213141516[[#This Row],[女名]]="","",10000000+ROW()-4)</f>
        <v>10000334</v>
      </c>
      <c r="D338" s="32" t="s">
        <v>755</v>
      </c>
      <c r="E338" s="32"/>
      <c r="F338" s="32"/>
      <c r="G338" s="8"/>
    </row>
    <row r="339" spans="1:7" x14ac:dyDescent="0.35">
      <c r="A339" s="8"/>
      <c r="B339" s="26">
        <v>100</v>
      </c>
      <c r="C339" s="26">
        <f>IF(表5_710111213141516[[#This Row],[姓]]=表5_710111213141516[[#This Row],[男名]]=表5_710111213141516[[#This Row],[女名]]="","",10000000+ROW()-4)</f>
        <v>10000335</v>
      </c>
      <c r="D339" s="32" t="s">
        <v>756</v>
      </c>
      <c r="E339" s="32"/>
      <c r="F339" s="32"/>
      <c r="G339" s="8"/>
    </row>
    <row r="340" spans="1:7" x14ac:dyDescent="0.35">
      <c r="A340" s="8"/>
      <c r="B340" s="26">
        <v>100</v>
      </c>
      <c r="C340" s="26">
        <f>IF(表5_710111213141516[[#This Row],[姓]]=表5_710111213141516[[#This Row],[男名]]=表5_710111213141516[[#This Row],[女名]]="","",10000000+ROW()-4)</f>
        <v>10000336</v>
      </c>
      <c r="D340" s="32" t="s">
        <v>757</v>
      </c>
      <c r="E340" s="32"/>
      <c r="F340" s="32"/>
      <c r="G340" s="8"/>
    </row>
    <row r="341" spans="1:7" x14ac:dyDescent="0.35">
      <c r="A341" s="8"/>
      <c r="B341" s="26">
        <v>100</v>
      </c>
      <c r="C341" s="26">
        <f>IF(表5_710111213141516[[#This Row],[姓]]=表5_710111213141516[[#This Row],[男名]]=表5_710111213141516[[#This Row],[女名]]="","",10000000+ROW()-4)</f>
        <v>10000337</v>
      </c>
      <c r="D341" s="32" t="s">
        <v>758</v>
      </c>
      <c r="E341" s="32"/>
      <c r="F341" s="32"/>
      <c r="G341" s="8"/>
    </row>
    <row r="342" spans="1:7" x14ac:dyDescent="0.35">
      <c r="A342" s="8"/>
      <c r="B342" s="26">
        <v>100</v>
      </c>
      <c r="C342" s="26">
        <f>IF(表5_710111213141516[[#This Row],[姓]]=表5_710111213141516[[#This Row],[男名]]=表5_710111213141516[[#This Row],[女名]]="","",10000000+ROW()-4)</f>
        <v>10000338</v>
      </c>
      <c r="D342" s="32" t="s">
        <v>759</v>
      </c>
      <c r="E342" s="32"/>
      <c r="F342" s="32"/>
      <c r="G342" s="8"/>
    </row>
    <row r="343" spans="1:7" x14ac:dyDescent="0.35">
      <c r="A343" s="8"/>
      <c r="B343" s="26">
        <v>100</v>
      </c>
      <c r="C343" s="26">
        <f>IF(表5_710111213141516[[#This Row],[姓]]=表5_710111213141516[[#This Row],[男名]]=表5_710111213141516[[#This Row],[女名]]="","",10000000+ROW()-4)</f>
        <v>10000339</v>
      </c>
      <c r="D343" s="32" t="s">
        <v>760</v>
      </c>
      <c r="E343" s="32"/>
      <c r="F343" s="32"/>
      <c r="G343" s="8"/>
    </row>
    <row r="344" spans="1:7" x14ac:dyDescent="0.35">
      <c r="A344" s="8"/>
      <c r="B344" s="26">
        <v>100</v>
      </c>
      <c r="C344" s="26">
        <f>IF(表5_710111213141516[[#This Row],[姓]]=表5_710111213141516[[#This Row],[男名]]=表5_710111213141516[[#This Row],[女名]]="","",10000000+ROW()-4)</f>
        <v>10000340</v>
      </c>
      <c r="D344" s="32" t="s">
        <v>761</v>
      </c>
      <c r="E344" s="32"/>
      <c r="F344" s="32"/>
      <c r="G344" s="8"/>
    </row>
    <row r="345" spans="1:7" x14ac:dyDescent="0.35">
      <c r="A345" s="8"/>
      <c r="B345" s="26">
        <v>100</v>
      </c>
      <c r="C345" s="26">
        <f>IF(表5_710111213141516[[#This Row],[姓]]=表5_710111213141516[[#This Row],[男名]]=表5_710111213141516[[#This Row],[女名]]="","",10000000+ROW()-4)</f>
        <v>10000341</v>
      </c>
      <c r="D345" s="32" t="s">
        <v>762</v>
      </c>
      <c r="E345" s="32"/>
      <c r="F345" s="32"/>
      <c r="G345" s="8"/>
    </row>
    <row r="346" spans="1:7" x14ac:dyDescent="0.35">
      <c r="A346" s="8"/>
      <c r="B346" s="26">
        <v>100</v>
      </c>
      <c r="C346" s="26">
        <f>IF(表5_710111213141516[[#This Row],[姓]]=表5_710111213141516[[#This Row],[男名]]=表5_710111213141516[[#This Row],[女名]]="","",10000000+ROW()-4)</f>
        <v>10000342</v>
      </c>
      <c r="D346" s="32" t="s">
        <v>763</v>
      </c>
      <c r="E346" s="32"/>
      <c r="F346" s="32"/>
      <c r="G346" s="8"/>
    </row>
    <row r="347" spans="1:7" x14ac:dyDescent="0.35">
      <c r="A347" s="8"/>
      <c r="B347" s="26">
        <v>100</v>
      </c>
      <c r="C347" s="26">
        <f>IF(表5_710111213141516[[#This Row],[姓]]=表5_710111213141516[[#This Row],[男名]]=表5_710111213141516[[#This Row],[女名]]="","",10000000+ROW()-4)</f>
        <v>10000343</v>
      </c>
      <c r="D347" s="32" t="s">
        <v>764</v>
      </c>
      <c r="E347" s="32"/>
      <c r="F347" s="32"/>
      <c r="G347" s="8"/>
    </row>
    <row r="348" spans="1:7" x14ac:dyDescent="0.35">
      <c r="A348" s="8"/>
      <c r="B348" s="26">
        <v>100</v>
      </c>
      <c r="C348" s="26">
        <f>IF(表5_710111213141516[[#This Row],[姓]]=表5_710111213141516[[#This Row],[男名]]=表5_710111213141516[[#This Row],[女名]]="","",10000000+ROW()-4)</f>
        <v>10000344</v>
      </c>
      <c r="D348" s="32" t="s">
        <v>765</v>
      </c>
      <c r="E348" s="32"/>
      <c r="F348" s="32"/>
      <c r="G348" s="8"/>
    </row>
    <row r="349" spans="1:7" x14ac:dyDescent="0.35">
      <c r="A349" s="8"/>
      <c r="B349" s="26">
        <v>100</v>
      </c>
      <c r="C349" s="26">
        <f>IF(表5_710111213141516[[#This Row],[姓]]=表5_710111213141516[[#This Row],[男名]]=表5_710111213141516[[#This Row],[女名]]="","",10000000+ROW()-4)</f>
        <v>10000345</v>
      </c>
      <c r="D349" s="32" t="s">
        <v>766</v>
      </c>
      <c r="E349" s="32"/>
      <c r="F349" s="32"/>
      <c r="G349" s="8"/>
    </row>
    <row r="350" spans="1:7" x14ac:dyDescent="0.35">
      <c r="A350" s="8"/>
      <c r="B350" s="26">
        <v>100</v>
      </c>
      <c r="C350" s="26">
        <f>IF(表5_710111213141516[[#This Row],[姓]]=表5_710111213141516[[#This Row],[男名]]=表5_710111213141516[[#This Row],[女名]]="","",10000000+ROW()-4)</f>
        <v>10000346</v>
      </c>
      <c r="D350" s="32" t="s">
        <v>767</v>
      </c>
      <c r="E350" s="32"/>
      <c r="F350" s="32"/>
      <c r="G350" s="8"/>
    </row>
    <row r="351" spans="1:7" x14ac:dyDescent="0.35">
      <c r="A351" s="8"/>
      <c r="B351" s="26">
        <v>100</v>
      </c>
      <c r="C351" s="26">
        <f>IF(表5_710111213141516[[#This Row],[姓]]=表5_710111213141516[[#This Row],[男名]]=表5_710111213141516[[#This Row],[女名]]="","",10000000+ROW()-4)</f>
        <v>10000347</v>
      </c>
      <c r="D351" s="32" t="s">
        <v>768</v>
      </c>
      <c r="E351" s="32"/>
      <c r="F351" s="32"/>
      <c r="G351" s="8"/>
    </row>
    <row r="352" spans="1:7" x14ac:dyDescent="0.35">
      <c r="A352" s="8"/>
      <c r="B352" s="26">
        <v>100</v>
      </c>
      <c r="C352" s="26">
        <f>IF(表5_710111213141516[[#This Row],[姓]]=表5_710111213141516[[#This Row],[男名]]=表5_710111213141516[[#This Row],[女名]]="","",10000000+ROW()-4)</f>
        <v>10000348</v>
      </c>
      <c r="D352" s="32" t="s">
        <v>769</v>
      </c>
      <c r="E352" s="32"/>
      <c r="F352" s="32"/>
      <c r="G352" s="8"/>
    </row>
    <row r="353" spans="1:7" x14ac:dyDescent="0.35">
      <c r="A353" s="8"/>
      <c r="B353" s="26">
        <v>100</v>
      </c>
      <c r="C353" s="26">
        <f>IF(表5_710111213141516[[#This Row],[姓]]=表5_710111213141516[[#This Row],[男名]]=表5_710111213141516[[#This Row],[女名]]="","",10000000+ROW()-4)</f>
        <v>10000349</v>
      </c>
      <c r="D353" s="32" t="s">
        <v>770</v>
      </c>
      <c r="E353" s="32"/>
      <c r="F353" s="32"/>
      <c r="G353" s="8"/>
    </row>
    <row r="354" spans="1:7" x14ac:dyDescent="0.35">
      <c r="A354" s="8"/>
      <c r="B354" s="26">
        <v>100</v>
      </c>
      <c r="C354" s="26">
        <f>IF(表5_710111213141516[[#This Row],[姓]]=表5_710111213141516[[#This Row],[男名]]=表5_710111213141516[[#This Row],[女名]]="","",10000000+ROW()-4)</f>
        <v>10000350</v>
      </c>
      <c r="D354" s="32" t="s">
        <v>771</v>
      </c>
      <c r="E354" s="32"/>
      <c r="F354" s="32"/>
      <c r="G354" s="8"/>
    </row>
    <row r="355" spans="1:7" x14ac:dyDescent="0.35">
      <c r="A355" s="8"/>
      <c r="B355" s="26">
        <v>100</v>
      </c>
      <c r="C355" s="26">
        <f>IF(表5_710111213141516[[#This Row],[姓]]=表5_710111213141516[[#This Row],[男名]]=表5_710111213141516[[#This Row],[女名]]="","",10000000+ROW()-4)</f>
        <v>10000351</v>
      </c>
      <c r="D355" s="32" t="s">
        <v>772</v>
      </c>
      <c r="E355" s="32"/>
      <c r="F355" s="32"/>
      <c r="G355" s="8"/>
    </row>
    <row r="356" spans="1:7" x14ac:dyDescent="0.35">
      <c r="A356" s="8"/>
      <c r="B356" s="26">
        <v>100</v>
      </c>
      <c r="C356" s="26">
        <f>IF(表5_710111213141516[[#This Row],[姓]]=表5_710111213141516[[#This Row],[男名]]=表5_710111213141516[[#This Row],[女名]]="","",10000000+ROW()-4)</f>
        <v>10000352</v>
      </c>
      <c r="D356" s="32" t="s">
        <v>773</v>
      </c>
      <c r="E356" s="32"/>
      <c r="F356" s="32"/>
      <c r="G356" s="8"/>
    </row>
    <row r="357" spans="1:7" x14ac:dyDescent="0.35">
      <c r="A357" s="8"/>
      <c r="B357" s="26">
        <v>100</v>
      </c>
      <c r="C357" s="26">
        <f>IF(表5_710111213141516[[#This Row],[姓]]=表5_710111213141516[[#This Row],[男名]]=表5_710111213141516[[#This Row],[女名]]="","",10000000+ROW()-4)</f>
        <v>10000353</v>
      </c>
      <c r="D357" s="32" t="s">
        <v>774</v>
      </c>
      <c r="E357" s="32"/>
      <c r="F357" s="32"/>
      <c r="G357" s="8"/>
    </row>
    <row r="358" spans="1:7" x14ac:dyDescent="0.35">
      <c r="A358" s="8"/>
      <c r="B358" s="26">
        <v>100</v>
      </c>
      <c r="C358" s="26">
        <f>IF(表5_710111213141516[[#This Row],[姓]]=表5_710111213141516[[#This Row],[男名]]=表5_710111213141516[[#This Row],[女名]]="","",10000000+ROW()-4)</f>
        <v>10000354</v>
      </c>
      <c r="D358" s="32" t="s">
        <v>775</v>
      </c>
      <c r="E358" s="32"/>
      <c r="F358" s="32"/>
      <c r="G358" s="8"/>
    </row>
    <row r="359" spans="1:7" x14ac:dyDescent="0.35">
      <c r="A359" s="8"/>
      <c r="B359" s="26">
        <v>100</v>
      </c>
      <c r="C359" s="26">
        <f>IF(表5_710111213141516[[#This Row],[姓]]=表5_710111213141516[[#This Row],[男名]]=表5_710111213141516[[#This Row],[女名]]="","",10000000+ROW()-4)</f>
        <v>10000355</v>
      </c>
      <c r="D359" s="32" t="s">
        <v>776</v>
      </c>
      <c r="E359" s="32"/>
      <c r="F359" s="32"/>
      <c r="G359" s="8"/>
    </row>
    <row r="360" spans="1:7" x14ac:dyDescent="0.35">
      <c r="A360" s="8"/>
      <c r="B360" s="26">
        <v>100</v>
      </c>
      <c r="C360" s="26">
        <f>IF(表5_710111213141516[[#This Row],[姓]]=表5_710111213141516[[#This Row],[男名]]=表5_710111213141516[[#This Row],[女名]]="","",10000000+ROW()-4)</f>
        <v>10000356</v>
      </c>
      <c r="D360" s="32" t="s">
        <v>777</v>
      </c>
      <c r="E360" s="32"/>
      <c r="F360" s="32"/>
      <c r="G360" s="8"/>
    </row>
    <row r="361" spans="1:7" x14ac:dyDescent="0.35">
      <c r="A361" s="8"/>
      <c r="B361" s="26">
        <v>100</v>
      </c>
      <c r="C361" s="26">
        <f>IF(表5_710111213141516[[#This Row],[姓]]=表5_710111213141516[[#This Row],[男名]]=表5_710111213141516[[#This Row],[女名]]="","",10000000+ROW()-4)</f>
        <v>10000357</v>
      </c>
      <c r="D361" s="32" t="s">
        <v>778</v>
      </c>
      <c r="E361" s="32"/>
      <c r="F361" s="32"/>
      <c r="G361" s="8"/>
    </row>
    <row r="362" spans="1:7" x14ac:dyDescent="0.35">
      <c r="A362" s="8"/>
      <c r="B362" s="26">
        <v>100</v>
      </c>
      <c r="C362" s="26">
        <f>IF(表5_710111213141516[[#This Row],[姓]]=表5_710111213141516[[#This Row],[男名]]=表5_710111213141516[[#This Row],[女名]]="","",10000000+ROW()-4)</f>
        <v>10000358</v>
      </c>
      <c r="D362" s="32" t="s">
        <v>779</v>
      </c>
      <c r="E362" s="32"/>
      <c r="F362" s="32"/>
      <c r="G362" s="8"/>
    </row>
    <row r="363" spans="1:7" x14ac:dyDescent="0.35">
      <c r="A363" s="8"/>
      <c r="B363" s="26">
        <v>100</v>
      </c>
      <c r="C363" s="26">
        <f>IF(表5_710111213141516[[#This Row],[姓]]=表5_710111213141516[[#This Row],[男名]]=表5_710111213141516[[#This Row],[女名]]="","",10000000+ROW()-4)</f>
        <v>10000359</v>
      </c>
      <c r="D363" s="32" t="s">
        <v>780</v>
      </c>
      <c r="E363" s="32"/>
      <c r="F363" s="32"/>
      <c r="G363" s="8"/>
    </row>
    <row r="364" spans="1:7" x14ac:dyDescent="0.35">
      <c r="A364" s="8"/>
      <c r="B364" s="26">
        <v>100</v>
      </c>
      <c r="C364" s="26">
        <f>IF(表5_710111213141516[[#This Row],[姓]]=表5_710111213141516[[#This Row],[男名]]=表5_710111213141516[[#This Row],[女名]]="","",10000000+ROW()-4)</f>
        <v>10000360</v>
      </c>
      <c r="D364" s="32" t="s">
        <v>781</v>
      </c>
      <c r="E364" s="32"/>
      <c r="F364" s="32"/>
      <c r="G364" s="8"/>
    </row>
    <row r="365" spans="1:7" x14ac:dyDescent="0.35">
      <c r="A365" s="8"/>
      <c r="B365" s="26">
        <v>100</v>
      </c>
      <c r="C365" s="26">
        <f>IF(表5_710111213141516[[#This Row],[姓]]=表5_710111213141516[[#This Row],[男名]]=表5_710111213141516[[#This Row],[女名]]="","",10000000+ROW()-4)</f>
        <v>10000361</v>
      </c>
      <c r="D365" s="32" t="s">
        <v>782</v>
      </c>
      <c r="E365" s="32"/>
      <c r="F365" s="32"/>
      <c r="G365" s="8"/>
    </row>
    <row r="366" spans="1:7" x14ac:dyDescent="0.35">
      <c r="A366" s="8"/>
      <c r="B366" s="26">
        <v>100</v>
      </c>
      <c r="C366" s="26">
        <f>IF(表5_710111213141516[[#This Row],[姓]]=表5_710111213141516[[#This Row],[男名]]=表5_710111213141516[[#This Row],[女名]]="","",10000000+ROW()-4)</f>
        <v>10000362</v>
      </c>
      <c r="D366" s="32" t="s">
        <v>783</v>
      </c>
      <c r="E366" s="32"/>
      <c r="F366" s="32"/>
      <c r="G366" s="8"/>
    </row>
    <row r="367" spans="1:7" x14ac:dyDescent="0.35">
      <c r="A367" s="8"/>
      <c r="B367" s="26">
        <v>100</v>
      </c>
      <c r="C367" s="26">
        <f>IF(表5_710111213141516[[#This Row],[姓]]=表5_710111213141516[[#This Row],[男名]]=表5_710111213141516[[#This Row],[女名]]="","",10000000+ROW()-4)</f>
        <v>10000363</v>
      </c>
      <c r="D367" s="32" t="s">
        <v>784</v>
      </c>
      <c r="E367" s="32"/>
      <c r="F367" s="32"/>
      <c r="G367" s="8"/>
    </row>
    <row r="368" spans="1:7" x14ac:dyDescent="0.35">
      <c r="A368" s="8"/>
      <c r="B368" s="26">
        <v>100</v>
      </c>
      <c r="C368" s="26">
        <f>IF(表5_710111213141516[[#This Row],[姓]]=表5_710111213141516[[#This Row],[男名]]=表5_710111213141516[[#This Row],[女名]]="","",10000000+ROW()-4)</f>
        <v>10000364</v>
      </c>
      <c r="D368" s="32" t="s">
        <v>785</v>
      </c>
      <c r="E368" s="32"/>
      <c r="F368" s="32"/>
      <c r="G368" s="8"/>
    </row>
    <row r="369" spans="1:7" x14ac:dyDescent="0.35">
      <c r="A369" s="8"/>
      <c r="B369" s="26">
        <v>100</v>
      </c>
      <c r="C369" s="26">
        <f>IF(表5_710111213141516[[#This Row],[姓]]=表5_710111213141516[[#This Row],[男名]]=表5_710111213141516[[#This Row],[女名]]="","",10000000+ROW()-4)</f>
        <v>10000365</v>
      </c>
      <c r="D369" s="32" t="s">
        <v>786</v>
      </c>
      <c r="E369" s="32"/>
      <c r="F369" s="32"/>
      <c r="G369" s="8"/>
    </row>
    <row r="370" spans="1:7" x14ac:dyDescent="0.35">
      <c r="A370" s="8"/>
      <c r="B370" s="26">
        <v>100</v>
      </c>
      <c r="C370" s="26">
        <f>IF(表5_710111213141516[[#This Row],[姓]]=表5_710111213141516[[#This Row],[男名]]=表5_710111213141516[[#This Row],[女名]]="","",10000000+ROW()-4)</f>
        <v>10000366</v>
      </c>
      <c r="D370" s="32" t="s">
        <v>787</v>
      </c>
      <c r="E370" s="32"/>
      <c r="F370" s="32"/>
      <c r="G370" s="8"/>
    </row>
    <row r="371" spans="1:7" x14ac:dyDescent="0.35">
      <c r="A371" s="8"/>
      <c r="B371" s="26">
        <v>100</v>
      </c>
      <c r="C371" s="26">
        <f>IF(表5_710111213141516[[#This Row],[姓]]=表5_710111213141516[[#This Row],[男名]]=表5_710111213141516[[#This Row],[女名]]="","",10000000+ROW()-4)</f>
        <v>10000367</v>
      </c>
      <c r="D371" s="32" t="s">
        <v>788</v>
      </c>
      <c r="E371" s="32"/>
      <c r="F371" s="32"/>
      <c r="G371" s="8"/>
    </row>
    <row r="372" spans="1:7" x14ac:dyDescent="0.35">
      <c r="A372" s="8"/>
      <c r="B372" s="26">
        <v>100</v>
      </c>
      <c r="C372" s="26">
        <f>IF(表5_710111213141516[[#This Row],[姓]]=表5_710111213141516[[#This Row],[男名]]=表5_710111213141516[[#This Row],[女名]]="","",10000000+ROW()-4)</f>
        <v>10000368</v>
      </c>
      <c r="D372" s="32" t="s">
        <v>789</v>
      </c>
      <c r="E372" s="32"/>
      <c r="F372" s="32"/>
      <c r="G372" s="8"/>
    </row>
    <row r="373" spans="1:7" x14ac:dyDescent="0.35">
      <c r="A373" s="8"/>
      <c r="B373" s="26">
        <v>100</v>
      </c>
      <c r="C373" s="26">
        <f>IF(表5_710111213141516[[#This Row],[姓]]=表5_710111213141516[[#This Row],[男名]]=表5_710111213141516[[#This Row],[女名]]="","",10000000+ROW()-4)</f>
        <v>10000369</v>
      </c>
      <c r="D373" s="32" t="s">
        <v>790</v>
      </c>
      <c r="E373" s="32"/>
      <c r="F373" s="32"/>
      <c r="G373" s="8"/>
    </row>
    <row r="374" spans="1:7" x14ac:dyDescent="0.35">
      <c r="A374" s="8"/>
      <c r="B374" s="26">
        <v>100</v>
      </c>
      <c r="C374" s="26">
        <f>IF(表5_710111213141516[[#This Row],[姓]]=表5_710111213141516[[#This Row],[男名]]=表5_710111213141516[[#This Row],[女名]]="","",10000000+ROW()-4)</f>
        <v>10000370</v>
      </c>
      <c r="D374" s="32" t="s">
        <v>791</v>
      </c>
      <c r="E374" s="32"/>
      <c r="F374" s="32"/>
      <c r="G374" s="8"/>
    </row>
    <row r="375" spans="1:7" x14ac:dyDescent="0.35">
      <c r="A375" s="8"/>
      <c r="B375" s="26">
        <v>100</v>
      </c>
      <c r="C375" s="26">
        <f>IF(表5_710111213141516[[#This Row],[姓]]=表5_710111213141516[[#This Row],[男名]]=表5_710111213141516[[#This Row],[女名]]="","",10000000+ROW()-4)</f>
        <v>10000371</v>
      </c>
      <c r="D375" s="32" t="s">
        <v>792</v>
      </c>
      <c r="E375" s="32"/>
      <c r="F375" s="32"/>
      <c r="G375" s="8"/>
    </row>
    <row r="376" spans="1:7" x14ac:dyDescent="0.35">
      <c r="A376" s="8"/>
      <c r="B376" s="26">
        <v>100</v>
      </c>
      <c r="C376" s="26">
        <f>IF(表5_710111213141516[[#This Row],[姓]]=表5_710111213141516[[#This Row],[男名]]=表5_710111213141516[[#This Row],[女名]]="","",10000000+ROW()-4)</f>
        <v>10000372</v>
      </c>
      <c r="D376" s="32" t="s">
        <v>793</v>
      </c>
      <c r="E376" s="32"/>
      <c r="F376" s="32"/>
      <c r="G376" s="8"/>
    </row>
    <row r="377" spans="1:7" x14ac:dyDescent="0.35">
      <c r="A377" s="8"/>
      <c r="B377" s="26">
        <v>100</v>
      </c>
      <c r="C377" s="26">
        <f>IF(表5_710111213141516[[#This Row],[姓]]=表5_710111213141516[[#This Row],[男名]]=表5_710111213141516[[#This Row],[女名]]="","",10000000+ROW()-4)</f>
        <v>10000373</v>
      </c>
      <c r="D377" s="32" t="s">
        <v>794</v>
      </c>
      <c r="E377" s="32"/>
      <c r="F377" s="32"/>
      <c r="G377" s="8"/>
    </row>
    <row r="378" spans="1:7" x14ac:dyDescent="0.35">
      <c r="A378" s="8"/>
      <c r="B378" s="26">
        <v>100</v>
      </c>
      <c r="C378" s="26">
        <f>IF(表5_710111213141516[[#This Row],[姓]]=表5_710111213141516[[#This Row],[男名]]=表5_710111213141516[[#This Row],[女名]]="","",10000000+ROW()-4)</f>
        <v>10000374</v>
      </c>
      <c r="D378" s="32" t="s">
        <v>795</v>
      </c>
      <c r="E378" s="32"/>
      <c r="F378" s="32"/>
      <c r="G378" s="8"/>
    </row>
    <row r="379" spans="1:7" x14ac:dyDescent="0.35">
      <c r="A379" s="8"/>
      <c r="B379" s="26">
        <v>100</v>
      </c>
      <c r="C379" s="26">
        <f>IF(表5_710111213141516[[#This Row],[姓]]=表5_710111213141516[[#This Row],[男名]]=表5_710111213141516[[#This Row],[女名]]="","",10000000+ROW()-4)</f>
        <v>10000375</v>
      </c>
      <c r="D379" s="32" t="s">
        <v>796</v>
      </c>
      <c r="E379" s="32"/>
      <c r="F379" s="32"/>
      <c r="G379" s="8"/>
    </row>
    <row r="380" spans="1:7" x14ac:dyDescent="0.35">
      <c r="A380" s="8"/>
      <c r="B380" s="26">
        <v>100</v>
      </c>
      <c r="C380" s="26">
        <f>IF(表5_710111213141516[[#This Row],[姓]]=表5_710111213141516[[#This Row],[男名]]=表5_710111213141516[[#This Row],[女名]]="","",10000000+ROW()-4)</f>
        <v>10000376</v>
      </c>
      <c r="D380" s="32" t="s">
        <v>797</v>
      </c>
      <c r="E380" s="32"/>
      <c r="F380" s="32"/>
      <c r="G380" s="8"/>
    </row>
    <row r="381" spans="1:7" x14ac:dyDescent="0.35">
      <c r="A381" s="8"/>
      <c r="B381" s="26">
        <v>100</v>
      </c>
      <c r="C381" s="26">
        <f>IF(表5_710111213141516[[#This Row],[姓]]=表5_710111213141516[[#This Row],[男名]]=表5_710111213141516[[#This Row],[女名]]="","",10000000+ROW()-4)</f>
        <v>10000377</v>
      </c>
      <c r="D381" s="32" t="s">
        <v>798</v>
      </c>
      <c r="E381" s="32"/>
      <c r="F381" s="32"/>
      <c r="G381" s="8"/>
    </row>
    <row r="382" spans="1:7" x14ac:dyDescent="0.35">
      <c r="A382" s="8"/>
      <c r="B382" s="26">
        <v>100</v>
      </c>
      <c r="C382" s="26">
        <f>IF(表5_710111213141516[[#This Row],[姓]]=表5_710111213141516[[#This Row],[男名]]=表5_710111213141516[[#This Row],[女名]]="","",10000000+ROW()-4)</f>
        <v>10000378</v>
      </c>
      <c r="D382" s="32" t="s">
        <v>799</v>
      </c>
      <c r="E382" s="32"/>
      <c r="F382" s="32"/>
      <c r="G382" s="8"/>
    </row>
    <row r="383" spans="1:7" x14ac:dyDescent="0.35">
      <c r="A383" s="8"/>
      <c r="B383" s="26">
        <v>100</v>
      </c>
      <c r="C383" s="26">
        <f>IF(表5_710111213141516[[#This Row],[姓]]=表5_710111213141516[[#This Row],[男名]]=表5_710111213141516[[#This Row],[女名]]="","",10000000+ROW()-4)</f>
        <v>10000379</v>
      </c>
      <c r="D383" s="32" t="s">
        <v>800</v>
      </c>
      <c r="E383" s="32"/>
      <c r="F383" s="32"/>
      <c r="G383" s="8"/>
    </row>
    <row r="384" spans="1:7" x14ac:dyDescent="0.35">
      <c r="A384" s="8"/>
      <c r="B384" s="26">
        <v>100</v>
      </c>
      <c r="C384" s="26">
        <f>IF(表5_710111213141516[[#This Row],[姓]]=表5_710111213141516[[#This Row],[男名]]=表5_710111213141516[[#This Row],[女名]]="","",10000000+ROW()-4)</f>
        <v>10000380</v>
      </c>
      <c r="D384" s="32" t="s">
        <v>801</v>
      </c>
      <c r="E384" s="32"/>
      <c r="F384" s="32"/>
      <c r="G384" s="8"/>
    </row>
    <row r="385" spans="1:7" x14ac:dyDescent="0.35">
      <c r="A385" s="8"/>
      <c r="B385" s="26">
        <v>100</v>
      </c>
      <c r="C385" s="26">
        <f>IF(表5_710111213141516[[#This Row],[姓]]=表5_710111213141516[[#This Row],[男名]]=表5_710111213141516[[#This Row],[女名]]="","",10000000+ROW()-4)</f>
        <v>10000381</v>
      </c>
      <c r="D385" s="32" t="s">
        <v>802</v>
      </c>
      <c r="E385" s="32"/>
      <c r="F385" s="32"/>
      <c r="G385" s="8"/>
    </row>
    <row r="386" spans="1:7" x14ac:dyDescent="0.35">
      <c r="A386" s="8"/>
      <c r="B386" s="26">
        <v>100</v>
      </c>
      <c r="C386" s="26">
        <f>IF(表5_710111213141516[[#This Row],[姓]]=表5_710111213141516[[#This Row],[男名]]=表5_710111213141516[[#This Row],[女名]]="","",10000000+ROW()-4)</f>
        <v>10000382</v>
      </c>
      <c r="D386" s="32" t="s">
        <v>803</v>
      </c>
      <c r="E386" s="32"/>
      <c r="F386" s="32"/>
      <c r="G386" s="8"/>
    </row>
    <row r="387" spans="1:7" x14ac:dyDescent="0.35">
      <c r="A387" s="8"/>
      <c r="B387" s="26">
        <v>100</v>
      </c>
      <c r="C387" s="26">
        <f>IF(表5_710111213141516[[#This Row],[姓]]=表5_710111213141516[[#This Row],[男名]]=表5_710111213141516[[#This Row],[女名]]="","",10000000+ROW()-4)</f>
        <v>10000383</v>
      </c>
      <c r="D387" s="32" t="s">
        <v>804</v>
      </c>
      <c r="E387" s="32"/>
      <c r="F387" s="32"/>
      <c r="G387" s="8"/>
    </row>
    <row r="388" spans="1:7" x14ac:dyDescent="0.35">
      <c r="A388" s="8"/>
      <c r="B388" s="26">
        <v>100</v>
      </c>
      <c r="C388" s="26">
        <f>IF(表5_710111213141516[[#This Row],[姓]]=表5_710111213141516[[#This Row],[男名]]=表5_710111213141516[[#This Row],[女名]]="","",10000000+ROW()-4)</f>
        <v>10000384</v>
      </c>
      <c r="D388" s="32" t="s">
        <v>805</v>
      </c>
      <c r="E388" s="32"/>
      <c r="F388" s="32"/>
      <c r="G388" s="8"/>
    </row>
    <row r="389" spans="1:7" x14ac:dyDescent="0.35">
      <c r="A389" s="8"/>
      <c r="B389" s="26">
        <v>100</v>
      </c>
      <c r="C389" s="26">
        <f>IF(表5_710111213141516[[#This Row],[姓]]=表5_710111213141516[[#This Row],[男名]]=表5_710111213141516[[#This Row],[女名]]="","",10000000+ROW()-4)</f>
        <v>10000385</v>
      </c>
      <c r="D389" s="32" t="s">
        <v>806</v>
      </c>
      <c r="E389" s="32"/>
      <c r="F389" s="32"/>
      <c r="G389" s="8"/>
    </row>
    <row r="390" spans="1:7" x14ac:dyDescent="0.35">
      <c r="A390" s="8"/>
      <c r="B390" s="26">
        <v>100</v>
      </c>
      <c r="C390" s="26">
        <f>IF(表5_710111213141516[[#This Row],[姓]]=表5_710111213141516[[#This Row],[男名]]=表5_710111213141516[[#This Row],[女名]]="","",10000000+ROW()-4)</f>
        <v>10000386</v>
      </c>
      <c r="D390" s="32" t="s">
        <v>807</v>
      </c>
      <c r="E390" s="32"/>
      <c r="F390" s="32"/>
      <c r="G390" s="8"/>
    </row>
    <row r="391" spans="1:7" x14ac:dyDescent="0.35">
      <c r="A391" s="8"/>
      <c r="B391" s="26">
        <v>100</v>
      </c>
      <c r="C391" s="26">
        <f>IF(表5_710111213141516[[#This Row],[姓]]=表5_710111213141516[[#This Row],[男名]]=表5_710111213141516[[#This Row],[女名]]="","",10000000+ROW()-4)</f>
        <v>10000387</v>
      </c>
      <c r="D391" s="32" t="s">
        <v>808</v>
      </c>
      <c r="E391" s="32"/>
      <c r="F391" s="32"/>
      <c r="G391" s="8"/>
    </row>
    <row r="392" spans="1:7" x14ac:dyDescent="0.35">
      <c r="A392" s="8"/>
      <c r="B392" s="26">
        <v>100</v>
      </c>
      <c r="C392" s="26">
        <f>IF(表5_710111213141516[[#This Row],[姓]]=表5_710111213141516[[#This Row],[男名]]=表5_710111213141516[[#This Row],[女名]]="","",10000000+ROW()-4)</f>
        <v>10000388</v>
      </c>
      <c r="D392" s="32" t="s">
        <v>809</v>
      </c>
      <c r="E392" s="32"/>
      <c r="F392" s="32"/>
      <c r="G392" s="8"/>
    </row>
    <row r="393" spans="1:7" x14ac:dyDescent="0.35">
      <c r="A393" s="8"/>
      <c r="B393" s="26">
        <v>100</v>
      </c>
      <c r="C393" s="26">
        <f>IF(表5_710111213141516[[#This Row],[姓]]=表5_710111213141516[[#This Row],[男名]]=表5_710111213141516[[#This Row],[女名]]="","",10000000+ROW()-4)</f>
        <v>10000389</v>
      </c>
      <c r="D393" s="32" t="s">
        <v>810</v>
      </c>
      <c r="E393" s="32"/>
      <c r="F393" s="32"/>
      <c r="G393" s="8"/>
    </row>
    <row r="394" spans="1:7" x14ac:dyDescent="0.35">
      <c r="A394" s="8"/>
      <c r="B394" s="26">
        <v>100</v>
      </c>
      <c r="C394" s="26">
        <f>IF(表5_710111213141516[[#This Row],[姓]]=表5_710111213141516[[#This Row],[男名]]=表5_710111213141516[[#This Row],[女名]]="","",10000000+ROW()-4)</f>
        <v>10000390</v>
      </c>
      <c r="D394" s="32" t="s">
        <v>811</v>
      </c>
      <c r="E394" s="32"/>
      <c r="F394" s="32"/>
      <c r="G394" s="8"/>
    </row>
    <row r="395" spans="1:7" x14ac:dyDescent="0.35">
      <c r="A395" s="8"/>
      <c r="B395" s="26">
        <v>100</v>
      </c>
      <c r="C395" s="26">
        <f>IF(表5_710111213141516[[#This Row],[姓]]=表5_710111213141516[[#This Row],[男名]]=表5_710111213141516[[#This Row],[女名]]="","",10000000+ROW()-4)</f>
        <v>10000391</v>
      </c>
      <c r="D395" s="32" t="s">
        <v>812</v>
      </c>
      <c r="E395" s="32"/>
      <c r="F395" s="32"/>
      <c r="G395" s="8"/>
    </row>
    <row r="396" spans="1:7" x14ac:dyDescent="0.35">
      <c r="A396" s="8"/>
      <c r="B396" s="26">
        <v>100</v>
      </c>
      <c r="C396" s="26">
        <f>IF(表5_710111213141516[[#This Row],[姓]]=表5_710111213141516[[#This Row],[男名]]=表5_710111213141516[[#This Row],[女名]]="","",10000000+ROW()-4)</f>
        <v>10000392</v>
      </c>
      <c r="D396" s="32" t="s">
        <v>813</v>
      </c>
      <c r="E396" s="32"/>
      <c r="F396" s="32"/>
      <c r="G396" s="8"/>
    </row>
    <row r="397" spans="1:7" x14ac:dyDescent="0.35">
      <c r="A397" s="8"/>
      <c r="B397" s="26">
        <v>100</v>
      </c>
      <c r="C397" s="26">
        <f>IF(表5_710111213141516[[#This Row],[姓]]=表5_710111213141516[[#This Row],[男名]]=表5_710111213141516[[#This Row],[女名]]="","",10000000+ROW()-4)</f>
        <v>10000393</v>
      </c>
      <c r="D397" s="32" t="s">
        <v>814</v>
      </c>
      <c r="E397" s="32"/>
      <c r="F397" s="32"/>
      <c r="G397" s="8"/>
    </row>
    <row r="398" spans="1:7" x14ac:dyDescent="0.35">
      <c r="A398" s="8"/>
      <c r="B398" s="26">
        <v>100</v>
      </c>
      <c r="C398" s="26">
        <f>IF(表5_710111213141516[[#This Row],[姓]]=表5_710111213141516[[#This Row],[男名]]=表5_710111213141516[[#This Row],[女名]]="","",10000000+ROW()-4)</f>
        <v>10000394</v>
      </c>
      <c r="D398" s="32" t="s">
        <v>815</v>
      </c>
      <c r="E398" s="32"/>
      <c r="F398" s="32"/>
      <c r="G398" s="8"/>
    </row>
    <row r="399" spans="1:7" x14ac:dyDescent="0.35">
      <c r="A399" s="8"/>
      <c r="B399" s="26">
        <v>100</v>
      </c>
      <c r="C399" s="26">
        <f>IF(表5_710111213141516[[#This Row],[姓]]=表5_710111213141516[[#This Row],[男名]]=表5_710111213141516[[#This Row],[女名]]="","",10000000+ROW()-4)</f>
        <v>10000395</v>
      </c>
      <c r="D399" s="32" t="s">
        <v>816</v>
      </c>
      <c r="E399" s="32"/>
      <c r="F399" s="32"/>
      <c r="G399" s="8"/>
    </row>
    <row r="400" spans="1:7" x14ac:dyDescent="0.35">
      <c r="A400" s="8"/>
      <c r="B400" s="26">
        <v>100</v>
      </c>
      <c r="C400" s="26">
        <f>IF(表5_710111213141516[[#This Row],[姓]]=表5_710111213141516[[#This Row],[男名]]=表5_710111213141516[[#This Row],[女名]]="","",10000000+ROW()-4)</f>
        <v>10000396</v>
      </c>
      <c r="D400" s="32" t="s">
        <v>817</v>
      </c>
      <c r="E400" s="32"/>
      <c r="F400" s="32"/>
      <c r="G400" s="8"/>
    </row>
    <row r="401" spans="1:7" x14ac:dyDescent="0.35">
      <c r="A401" s="8"/>
      <c r="B401" s="26">
        <v>100</v>
      </c>
      <c r="C401" s="26">
        <f>IF(表5_710111213141516[[#This Row],[姓]]=表5_710111213141516[[#This Row],[男名]]=表5_710111213141516[[#This Row],[女名]]="","",10000000+ROW()-4)</f>
        <v>10000397</v>
      </c>
      <c r="D401" s="32" t="s">
        <v>818</v>
      </c>
      <c r="E401" s="32"/>
      <c r="F401" s="32"/>
      <c r="G401" s="8"/>
    </row>
    <row r="402" spans="1:7" x14ac:dyDescent="0.35">
      <c r="A402" s="8"/>
      <c r="B402" s="26">
        <v>100</v>
      </c>
      <c r="C402" s="26">
        <f>IF(表5_710111213141516[[#This Row],[姓]]=表5_710111213141516[[#This Row],[男名]]=表5_710111213141516[[#This Row],[女名]]="","",10000000+ROW()-4)</f>
        <v>10000398</v>
      </c>
      <c r="D402" s="32" t="s">
        <v>819</v>
      </c>
      <c r="E402" s="32"/>
      <c r="F402" s="32"/>
      <c r="G402" s="8"/>
    </row>
    <row r="403" spans="1:7" x14ac:dyDescent="0.35">
      <c r="A403" s="8"/>
      <c r="B403" s="26">
        <v>100</v>
      </c>
      <c r="C403" s="26">
        <f>IF(表5_710111213141516[[#This Row],[姓]]=表5_710111213141516[[#This Row],[男名]]=表5_710111213141516[[#This Row],[女名]]="","",10000000+ROW()-4)</f>
        <v>10000399</v>
      </c>
      <c r="D403" s="32" t="s">
        <v>820</v>
      </c>
      <c r="E403" s="32"/>
      <c r="F403" s="32"/>
      <c r="G403" s="8"/>
    </row>
    <row r="404" spans="1:7" x14ac:dyDescent="0.35">
      <c r="A404" s="8"/>
      <c r="B404" s="26">
        <v>100</v>
      </c>
      <c r="C404" s="26">
        <f>IF(表5_710111213141516[[#This Row],[姓]]=表5_710111213141516[[#This Row],[男名]]=表5_710111213141516[[#This Row],[女名]]="","",10000000+ROW()-4)</f>
        <v>10000400</v>
      </c>
      <c r="D404" s="32" t="s">
        <v>821</v>
      </c>
      <c r="E404" s="32"/>
      <c r="F404" s="32"/>
      <c r="G404" s="8"/>
    </row>
    <row r="405" spans="1:7" x14ac:dyDescent="0.35">
      <c r="A405" s="8"/>
      <c r="B405" s="26">
        <v>100</v>
      </c>
      <c r="C405" s="26">
        <f>IF(表5_710111213141516[[#This Row],[姓]]=表5_710111213141516[[#This Row],[男名]]=表5_710111213141516[[#This Row],[女名]]="","",10000000+ROW()-4)</f>
        <v>10000401</v>
      </c>
      <c r="D405" s="32" t="s">
        <v>822</v>
      </c>
      <c r="E405" s="32"/>
      <c r="F405" s="32"/>
      <c r="G405" s="8"/>
    </row>
    <row r="406" spans="1:7" x14ac:dyDescent="0.35">
      <c r="A406" s="8"/>
      <c r="B406" s="26">
        <v>100</v>
      </c>
      <c r="C406" s="26">
        <f>IF(表5_710111213141516[[#This Row],[姓]]=表5_710111213141516[[#This Row],[男名]]=表5_710111213141516[[#This Row],[女名]]="","",10000000+ROW()-4)</f>
        <v>10000402</v>
      </c>
      <c r="D406" s="32" t="s">
        <v>823</v>
      </c>
      <c r="E406" s="32"/>
      <c r="F406" s="32"/>
      <c r="G406" s="8"/>
    </row>
    <row r="407" spans="1:7" x14ac:dyDescent="0.35">
      <c r="A407" s="8"/>
      <c r="B407" s="26">
        <v>100</v>
      </c>
      <c r="C407" s="26">
        <f>IF(表5_710111213141516[[#This Row],[姓]]=表5_710111213141516[[#This Row],[男名]]=表5_710111213141516[[#This Row],[女名]]="","",10000000+ROW()-4)</f>
        <v>10000403</v>
      </c>
      <c r="D407" s="32" t="s">
        <v>824</v>
      </c>
      <c r="E407" s="32"/>
      <c r="F407" s="32"/>
      <c r="G407" s="8"/>
    </row>
    <row r="408" spans="1:7" x14ac:dyDescent="0.35">
      <c r="A408" s="8"/>
      <c r="B408" s="26">
        <v>100</v>
      </c>
      <c r="C408" s="26">
        <f>IF(表5_710111213141516[[#This Row],[姓]]=表5_710111213141516[[#This Row],[男名]]=表5_710111213141516[[#This Row],[女名]]="","",10000000+ROW()-4)</f>
        <v>10000404</v>
      </c>
      <c r="D408" s="32" t="s">
        <v>825</v>
      </c>
      <c r="E408" s="32"/>
      <c r="F408" s="32"/>
      <c r="G408" s="8"/>
    </row>
    <row r="409" spans="1:7" x14ac:dyDescent="0.35">
      <c r="A409" s="8"/>
      <c r="B409" s="26">
        <v>100</v>
      </c>
      <c r="C409" s="26">
        <f>IF(表5_710111213141516[[#This Row],[姓]]=表5_710111213141516[[#This Row],[男名]]=表5_710111213141516[[#This Row],[女名]]="","",10000000+ROW()-4)</f>
        <v>10000405</v>
      </c>
      <c r="D409" s="32" t="s">
        <v>826</v>
      </c>
      <c r="E409" s="32"/>
      <c r="F409" s="32"/>
      <c r="G409" s="8"/>
    </row>
    <row r="410" spans="1:7" x14ac:dyDescent="0.35">
      <c r="A410" s="8"/>
      <c r="B410" s="26">
        <v>100</v>
      </c>
      <c r="C410" s="26">
        <f>IF(表5_710111213141516[[#This Row],[姓]]=表5_710111213141516[[#This Row],[男名]]=表5_710111213141516[[#This Row],[女名]]="","",10000000+ROW()-4)</f>
        <v>10000406</v>
      </c>
      <c r="D410" s="32" t="s">
        <v>827</v>
      </c>
      <c r="E410" s="32"/>
      <c r="F410" s="32"/>
      <c r="G410" s="8"/>
    </row>
    <row r="411" spans="1:7" x14ac:dyDescent="0.35">
      <c r="A411" s="8"/>
      <c r="B411" s="26">
        <v>100</v>
      </c>
      <c r="C411" s="26">
        <f>IF(表5_710111213141516[[#This Row],[姓]]=表5_710111213141516[[#This Row],[男名]]=表5_710111213141516[[#This Row],[女名]]="","",10000000+ROW()-4)</f>
        <v>10000407</v>
      </c>
      <c r="D411" s="32" t="s">
        <v>828</v>
      </c>
      <c r="E411" s="32"/>
      <c r="F411" s="32"/>
      <c r="G411" s="8"/>
    </row>
    <row r="412" spans="1:7" x14ac:dyDescent="0.35">
      <c r="A412" s="8"/>
      <c r="B412" s="26">
        <v>100</v>
      </c>
      <c r="C412" s="26">
        <f>IF(表5_710111213141516[[#This Row],[姓]]=表5_710111213141516[[#This Row],[男名]]=表5_710111213141516[[#This Row],[女名]]="","",10000000+ROW()-4)</f>
        <v>10000408</v>
      </c>
      <c r="D412" s="32" t="s">
        <v>864</v>
      </c>
      <c r="E412" s="32"/>
      <c r="F412" s="32"/>
      <c r="G412" s="8"/>
    </row>
    <row r="413" spans="1:7" x14ac:dyDescent="0.35">
      <c r="A413" s="8"/>
      <c r="B413" s="26">
        <v>100</v>
      </c>
      <c r="C413" s="26">
        <f>IF(表5_710111213141516[[#This Row],[姓]]=表5_710111213141516[[#This Row],[男名]]=表5_710111213141516[[#This Row],[女名]]="","",10000000+ROW()-4)</f>
        <v>10000409</v>
      </c>
      <c r="D413" s="32" t="s">
        <v>865</v>
      </c>
      <c r="E413" s="32"/>
      <c r="F413" s="32"/>
      <c r="G413" s="8"/>
    </row>
    <row r="414" spans="1:7" x14ac:dyDescent="0.35">
      <c r="A414" s="8"/>
      <c r="B414" s="26">
        <v>100</v>
      </c>
      <c r="C414" s="26">
        <f>IF(表5_710111213141516[[#This Row],[姓]]=表5_710111213141516[[#This Row],[男名]]=表5_710111213141516[[#This Row],[女名]]="","",10000000+ROW()-4)</f>
        <v>10000410</v>
      </c>
      <c r="D414" s="32" t="s">
        <v>866</v>
      </c>
      <c r="E414" s="32"/>
      <c r="F414" s="32"/>
      <c r="G414" s="8"/>
    </row>
    <row r="415" spans="1:7" x14ac:dyDescent="0.35">
      <c r="A415" s="8"/>
      <c r="B415" s="26">
        <v>100</v>
      </c>
      <c r="C415" s="26">
        <f>IF(表5_710111213141516[[#This Row],[姓]]=表5_710111213141516[[#This Row],[男名]]=表5_710111213141516[[#This Row],[女名]]="","",10000000+ROW()-4)</f>
        <v>10000411</v>
      </c>
      <c r="D415" s="32" t="s">
        <v>867</v>
      </c>
      <c r="E415" s="32"/>
      <c r="F415" s="32"/>
      <c r="G415" s="8"/>
    </row>
    <row r="416" spans="1:7" x14ac:dyDescent="0.35">
      <c r="A416" s="8"/>
      <c r="B416" s="26">
        <v>100</v>
      </c>
      <c r="C416" s="26">
        <f>IF(表5_710111213141516[[#This Row],[姓]]=表5_710111213141516[[#This Row],[男名]]=表5_710111213141516[[#This Row],[女名]]="","",10000000+ROW()-4)</f>
        <v>10000412</v>
      </c>
      <c r="D416" s="32" t="s">
        <v>868</v>
      </c>
      <c r="E416" s="32"/>
      <c r="F416" s="32"/>
      <c r="G416" s="8"/>
    </row>
    <row r="417" spans="1:7" x14ac:dyDescent="0.35">
      <c r="A417" s="8"/>
      <c r="B417" s="26">
        <v>100</v>
      </c>
      <c r="C417" s="26">
        <f>IF(表5_710111213141516[[#This Row],[姓]]=表5_710111213141516[[#This Row],[男名]]=表5_710111213141516[[#This Row],[女名]]="","",10000000+ROW()-4)</f>
        <v>10000413</v>
      </c>
      <c r="D417" s="32" t="s">
        <v>869</v>
      </c>
      <c r="E417" s="32"/>
      <c r="F417" s="32"/>
      <c r="G417" s="8"/>
    </row>
    <row r="418" spans="1:7" x14ac:dyDescent="0.35">
      <c r="A418" s="8"/>
      <c r="B418" s="26">
        <v>100</v>
      </c>
      <c r="C418" s="26">
        <f>IF(表5_710111213141516[[#This Row],[姓]]=表5_710111213141516[[#This Row],[男名]]=表5_710111213141516[[#This Row],[女名]]="","",10000000+ROW()-4)</f>
        <v>10000414</v>
      </c>
      <c r="D418" s="32" t="s">
        <v>870</v>
      </c>
      <c r="E418" s="32"/>
      <c r="F418" s="32"/>
      <c r="G418" s="8"/>
    </row>
    <row r="419" spans="1:7" x14ac:dyDescent="0.35">
      <c r="A419" s="8"/>
      <c r="B419" s="26">
        <v>100</v>
      </c>
      <c r="C419" s="26">
        <f>IF(表5_710111213141516[[#This Row],[姓]]=表5_710111213141516[[#This Row],[男名]]=表5_710111213141516[[#This Row],[女名]]="","",10000000+ROW()-4)</f>
        <v>10000415</v>
      </c>
      <c r="D419" s="32" t="s">
        <v>871</v>
      </c>
      <c r="E419" s="32"/>
      <c r="F419" s="32"/>
      <c r="G419" s="8"/>
    </row>
    <row r="420" spans="1:7" x14ac:dyDescent="0.35">
      <c r="A420" s="8"/>
      <c r="B420" s="26">
        <v>100</v>
      </c>
      <c r="C420" s="26">
        <f>IF(表5_710111213141516[[#This Row],[姓]]=表5_710111213141516[[#This Row],[男名]]=表5_710111213141516[[#This Row],[女名]]="","",10000000+ROW()-4)</f>
        <v>10000416</v>
      </c>
      <c r="D420" s="32" t="s">
        <v>872</v>
      </c>
      <c r="E420" s="32"/>
      <c r="F420" s="32"/>
      <c r="G420" s="8"/>
    </row>
    <row r="421" spans="1:7" x14ac:dyDescent="0.35">
      <c r="A421" s="8"/>
      <c r="B421" s="26">
        <v>100</v>
      </c>
      <c r="C421" s="26">
        <f>IF(表5_710111213141516[[#This Row],[姓]]=表5_710111213141516[[#This Row],[男名]]=表5_710111213141516[[#This Row],[女名]]="","",10000000+ROW()-4)</f>
        <v>10000417</v>
      </c>
      <c r="D421" s="32" t="s">
        <v>873</v>
      </c>
      <c r="E421" s="32"/>
      <c r="F421" s="32"/>
      <c r="G421" s="8"/>
    </row>
    <row r="422" spans="1:7" x14ac:dyDescent="0.35">
      <c r="A422" s="8"/>
      <c r="B422" s="26">
        <v>100</v>
      </c>
      <c r="C422" s="26">
        <f>IF(表5_710111213141516[[#This Row],[姓]]=表5_710111213141516[[#This Row],[男名]]=表5_710111213141516[[#This Row],[女名]]="","",10000000+ROW()-4)</f>
        <v>10000418</v>
      </c>
      <c r="D422" s="32" t="s">
        <v>874</v>
      </c>
      <c r="E422" s="32"/>
      <c r="F422" s="32"/>
      <c r="G422" s="8"/>
    </row>
    <row r="423" spans="1:7" x14ac:dyDescent="0.35">
      <c r="A423" s="8"/>
      <c r="B423" s="26">
        <v>100</v>
      </c>
      <c r="C423" s="26">
        <f>IF(表5_710111213141516[[#This Row],[姓]]=表5_710111213141516[[#This Row],[男名]]=表5_710111213141516[[#This Row],[女名]]="","",10000000+ROW()-4)</f>
        <v>10000419</v>
      </c>
      <c r="D423" s="32" t="s">
        <v>875</v>
      </c>
      <c r="E423" s="32"/>
      <c r="F423" s="32"/>
      <c r="G423" s="8"/>
    </row>
    <row r="424" spans="1:7" x14ac:dyDescent="0.35">
      <c r="A424" s="8"/>
      <c r="B424" s="26">
        <v>100</v>
      </c>
      <c r="C424" s="26">
        <f>IF(表5_710111213141516[[#This Row],[姓]]=表5_710111213141516[[#This Row],[男名]]=表5_710111213141516[[#This Row],[女名]]="","",10000000+ROW()-4)</f>
        <v>10000420</v>
      </c>
      <c r="D424" s="32" t="s">
        <v>876</v>
      </c>
      <c r="E424" s="32"/>
      <c r="F424" s="32"/>
      <c r="G424" s="8"/>
    </row>
    <row r="425" spans="1:7" x14ac:dyDescent="0.35">
      <c r="A425" s="8"/>
      <c r="B425" s="26">
        <v>100</v>
      </c>
      <c r="C425" s="26">
        <f>IF(表5_710111213141516[[#This Row],[姓]]=表5_710111213141516[[#This Row],[男名]]=表5_710111213141516[[#This Row],[女名]]="","",10000000+ROW()-4)</f>
        <v>10000421</v>
      </c>
      <c r="D425" s="32" t="s">
        <v>877</v>
      </c>
      <c r="E425" s="32"/>
      <c r="F425" s="32"/>
      <c r="G425" s="8"/>
    </row>
    <row r="426" spans="1:7" x14ac:dyDescent="0.35">
      <c r="A426" s="8"/>
      <c r="B426" s="26">
        <v>100</v>
      </c>
      <c r="C426" s="26">
        <f>IF(表5_710111213141516[[#This Row],[姓]]=表5_710111213141516[[#This Row],[男名]]=表5_710111213141516[[#This Row],[女名]]="","",10000000+ROW()-4)</f>
        <v>10000422</v>
      </c>
      <c r="D426" s="32" t="s">
        <v>878</v>
      </c>
      <c r="E426" s="32"/>
      <c r="F426" s="32"/>
      <c r="G426" s="8"/>
    </row>
    <row r="427" spans="1:7" x14ac:dyDescent="0.35">
      <c r="A427" s="8"/>
      <c r="B427" s="26">
        <v>100</v>
      </c>
      <c r="C427" s="26">
        <f>IF(表5_710111213141516[[#This Row],[姓]]=表5_710111213141516[[#This Row],[男名]]=表5_710111213141516[[#This Row],[女名]]="","",10000000+ROW()-4)</f>
        <v>10000423</v>
      </c>
      <c r="D427" s="32" t="s">
        <v>879</v>
      </c>
      <c r="E427" s="32"/>
      <c r="F427" s="32"/>
      <c r="G427" s="8"/>
    </row>
    <row r="428" spans="1:7" x14ac:dyDescent="0.35">
      <c r="A428" s="8"/>
      <c r="B428" s="26">
        <v>100</v>
      </c>
      <c r="C428" s="26">
        <f>IF(表5_710111213141516[[#This Row],[姓]]=表5_710111213141516[[#This Row],[男名]]=表5_710111213141516[[#This Row],[女名]]="","",10000000+ROW()-4)</f>
        <v>10000424</v>
      </c>
      <c r="D428" s="32" t="s">
        <v>880</v>
      </c>
      <c r="E428" s="32"/>
      <c r="F428" s="32"/>
      <c r="G428" s="8"/>
    </row>
    <row r="429" spans="1:7" x14ac:dyDescent="0.35">
      <c r="A429" s="8"/>
      <c r="B429" s="26">
        <v>100</v>
      </c>
      <c r="C429" s="26">
        <f>IF(表5_710111213141516[[#This Row],[姓]]=表5_710111213141516[[#This Row],[男名]]=表5_710111213141516[[#This Row],[女名]]="","",10000000+ROW()-4)</f>
        <v>10000425</v>
      </c>
      <c r="D429" s="32" t="s">
        <v>881</v>
      </c>
      <c r="E429" s="32"/>
      <c r="F429" s="32"/>
      <c r="G429" s="8"/>
    </row>
    <row r="430" spans="1:7" x14ac:dyDescent="0.35">
      <c r="A430" s="8"/>
      <c r="B430" s="26">
        <v>100</v>
      </c>
      <c r="C430" s="26">
        <f>IF(表5_710111213141516[[#This Row],[姓]]=表5_710111213141516[[#This Row],[男名]]=表5_710111213141516[[#This Row],[女名]]="","",10000000+ROW()-4)</f>
        <v>10000426</v>
      </c>
      <c r="D430" s="32" t="s">
        <v>882</v>
      </c>
      <c r="E430" s="32"/>
      <c r="F430" s="32"/>
      <c r="G430" s="8"/>
    </row>
    <row r="431" spans="1:7" x14ac:dyDescent="0.35">
      <c r="A431" s="8"/>
      <c r="B431" s="26">
        <v>100</v>
      </c>
      <c r="C431" s="26">
        <f>IF(表5_710111213141516[[#This Row],[姓]]=表5_710111213141516[[#This Row],[男名]]=表5_710111213141516[[#This Row],[女名]]="","",10000000+ROW()-4)</f>
        <v>10000427</v>
      </c>
      <c r="D431" s="32" t="s">
        <v>883</v>
      </c>
      <c r="E431" s="32"/>
      <c r="F431" s="32"/>
      <c r="G431" s="8"/>
    </row>
    <row r="432" spans="1:7" x14ac:dyDescent="0.35">
      <c r="A432" s="8"/>
      <c r="B432" s="26">
        <v>100</v>
      </c>
      <c r="C432" s="26">
        <f>IF(表5_710111213141516[[#This Row],[姓]]=表5_710111213141516[[#This Row],[男名]]=表5_710111213141516[[#This Row],[女名]]="","",10000000+ROW()-4)</f>
        <v>10000428</v>
      </c>
      <c r="D432" s="32" t="s">
        <v>884</v>
      </c>
      <c r="E432" s="32"/>
      <c r="F432" s="32"/>
      <c r="G432" s="8"/>
    </row>
    <row r="433" spans="1:7" x14ac:dyDescent="0.35">
      <c r="A433" s="8"/>
      <c r="B433" s="26">
        <v>100</v>
      </c>
      <c r="C433" s="26">
        <f>IF(表5_710111213141516[[#This Row],[姓]]=表5_710111213141516[[#This Row],[男名]]=表5_710111213141516[[#This Row],[女名]]="","",10000000+ROW()-4)</f>
        <v>10000429</v>
      </c>
      <c r="D433" s="32" t="s">
        <v>885</v>
      </c>
      <c r="E433" s="32"/>
      <c r="F433" s="32"/>
      <c r="G433" s="8"/>
    </row>
    <row r="434" spans="1:7" x14ac:dyDescent="0.35">
      <c r="A434" s="8"/>
      <c r="B434" s="26">
        <v>100</v>
      </c>
      <c r="C434" s="26">
        <f>IF(表5_710111213141516[[#This Row],[姓]]=表5_710111213141516[[#This Row],[男名]]=表5_710111213141516[[#This Row],[女名]]="","",10000000+ROW()-4)</f>
        <v>10000430</v>
      </c>
      <c r="D434" s="32" t="s">
        <v>886</v>
      </c>
      <c r="E434" s="32"/>
      <c r="F434" s="32"/>
      <c r="G434" s="8"/>
    </row>
    <row r="435" spans="1:7" x14ac:dyDescent="0.35">
      <c r="A435" s="8"/>
      <c r="B435" s="26">
        <v>100</v>
      </c>
      <c r="C435" s="26">
        <f>IF(表5_710111213141516[[#This Row],[姓]]=表5_710111213141516[[#This Row],[男名]]=表5_710111213141516[[#This Row],[女名]]="","",10000000+ROW()-4)</f>
        <v>10000431</v>
      </c>
      <c r="D435" s="32" t="s">
        <v>887</v>
      </c>
      <c r="E435" s="32"/>
      <c r="F435" s="32"/>
      <c r="G435" s="8"/>
    </row>
    <row r="436" spans="1:7" x14ac:dyDescent="0.35">
      <c r="A436" s="8"/>
      <c r="B436" s="26">
        <v>100</v>
      </c>
      <c r="C436" s="26">
        <f>IF(表5_710111213141516[[#This Row],[姓]]=表5_710111213141516[[#This Row],[男名]]=表5_710111213141516[[#This Row],[女名]]="","",10000000+ROW()-4)</f>
        <v>10000432</v>
      </c>
      <c r="D436" s="32" t="s">
        <v>888</v>
      </c>
      <c r="E436" s="32"/>
      <c r="F436" s="32"/>
      <c r="G436" s="8"/>
    </row>
    <row r="437" spans="1:7" x14ac:dyDescent="0.35">
      <c r="A437" s="8"/>
      <c r="B437" s="26">
        <v>100</v>
      </c>
      <c r="C437" s="26">
        <f>IF(表5_710111213141516[[#This Row],[姓]]=表5_710111213141516[[#This Row],[男名]]=表5_710111213141516[[#This Row],[女名]]="","",10000000+ROW()-4)</f>
        <v>10000433</v>
      </c>
      <c r="D437" s="32" t="s">
        <v>889</v>
      </c>
      <c r="E437" s="32"/>
      <c r="F437" s="32"/>
      <c r="G437" s="8"/>
    </row>
    <row r="438" spans="1:7" x14ac:dyDescent="0.35">
      <c r="A438" s="8"/>
      <c r="B438" s="26">
        <v>100</v>
      </c>
      <c r="C438" s="26">
        <f>IF(表5_710111213141516[[#This Row],[姓]]=表5_710111213141516[[#This Row],[男名]]=表5_710111213141516[[#This Row],[女名]]="","",10000000+ROW()-4)</f>
        <v>10000434</v>
      </c>
      <c r="D438" s="32" t="s">
        <v>890</v>
      </c>
      <c r="E438" s="32"/>
      <c r="F438" s="32"/>
      <c r="G438" s="8"/>
    </row>
    <row r="439" spans="1:7" x14ac:dyDescent="0.35">
      <c r="A439" s="8"/>
      <c r="B439" s="26">
        <v>100</v>
      </c>
      <c r="C439" s="26">
        <f>IF(表5_710111213141516[[#This Row],[姓]]=表5_710111213141516[[#This Row],[男名]]=表5_710111213141516[[#This Row],[女名]]="","",10000000+ROW()-4)</f>
        <v>10000435</v>
      </c>
      <c r="D439" s="32" t="s">
        <v>891</v>
      </c>
      <c r="E439" s="32"/>
      <c r="F439" s="32"/>
      <c r="G439" s="8"/>
    </row>
    <row r="440" spans="1:7" x14ac:dyDescent="0.35">
      <c r="A440" s="8"/>
      <c r="B440" s="26">
        <v>100</v>
      </c>
      <c r="C440" s="26">
        <f>IF(表5_710111213141516[[#This Row],[姓]]=表5_710111213141516[[#This Row],[男名]]=表5_710111213141516[[#This Row],[女名]]="","",10000000+ROW()-4)</f>
        <v>10000436</v>
      </c>
      <c r="D440" s="32" t="s">
        <v>892</v>
      </c>
      <c r="E440" s="32"/>
      <c r="F440" s="32"/>
      <c r="G440" s="8"/>
    </row>
    <row r="441" spans="1:7" x14ac:dyDescent="0.35">
      <c r="A441" s="8"/>
      <c r="B441" s="26">
        <v>100</v>
      </c>
      <c r="C441" s="26">
        <f>IF(表5_710111213141516[[#This Row],[姓]]=表5_710111213141516[[#This Row],[男名]]=表5_710111213141516[[#This Row],[女名]]="","",10000000+ROW()-4)</f>
        <v>10000437</v>
      </c>
      <c r="D441" s="32" t="s">
        <v>893</v>
      </c>
      <c r="E441" s="32"/>
      <c r="F441" s="32"/>
      <c r="G441" s="8"/>
    </row>
    <row r="442" spans="1:7" x14ac:dyDescent="0.35">
      <c r="A442" s="8"/>
      <c r="B442" s="26">
        <v>100</v>
      </c>
      <c r="C442" s="26">
        <f>IF(表5_710111213141516[[#This Row],[姓]]=表5_710111213141516[[#This Row],[男名]]=表5_710111213141516[[#This Row],[女名]]="","",10000000+ROW()-4)</f>
        <v>10000438</v>
      </c>
      <c r="D442" s="32" t="s">
        <v>894</v>
      </c>
      <c r="E442" s="32"/>
      <c r="F442" s="32"/>
      <c r="G442" s="8"/>
    </row>
    <row r="443" spans="1:7" x14ac:dyDescent="0.35">
      <c r="A443" s="8"/>
      <c r="B443" s="26">
        <v>100</v>
      </c>
      <c r="C443" s="26">
        <f>IF(表5_710111213141516[[#This Row],[姓]]=表5_710111213141516[[#This Row],[男名]]=表5_710111213141516[[#This Row],[女名]]="","",10000000+ROW()-4)</f>
        <v>10000439</v>
      </c>
      <c r="D443" s="32" t="s">
        <v>895</v>
      </c>
      <c r="E443" s="32"/>
      <c r="F443" s="32"/>
      <c r="G443" s="8"/>
    </row>
    <row r="444" spans="1:7" x14ac:dyDescent="0.35">
      <c r="A444" s="8"/>
      <c r="B444" s="26">
        <v>100</v>
      </c>
      <c r="C444" s="26">
        <f>IF(表5_710111213141516[[#This Row],[姓]]=表5_710111213141516[[#This Row],[男名]]=表5_710111213141516[[#This Row],[女名]]="","",10000000+ROW()-4)</f>
        <v>10000440</v>
      </c>
      <c r="D444" s="32" t="s">
        <v>896</v>
      </c>
      <c r="E444" s="32"/>
      <c r="F444" s="32"/>
      <c r="G444" s="8"/>
    </row>
    <row r="445" spans="1:7" x14ac:dyDescent="0.35">
      <c r="A445" s="8"/>
      <c r="B445" s="26">
        <v>100</v>
      </c>
      <c r="C445" s="26">
        <f>IF(表5_710111213141516[[#This Row],[姓]]=表5_710111213141516[[#This Row],[男名]]=表5_710111213141516[[#This Row],[女名]]="","",10000000+ROW()-4)</f>
        <v>10000441</v>
      </c>
      <c r="D445" s="32" t="s">
        <v>897</v>
      </c>
      <c r="E445" s="32"/>
      <c r="F445" s="32"/>
      <c r="G445" s="8"/>
    </row>
    <row r="446" spans="1:7" x14ac:dyDescent="0.35">
      <c r="A446" s="8"/>
      <c r="B446" s="26">
        <v>100</v>
      </c>
      <c r="C446" s="26">
        <f>IF(表5_710111213141516[[#This Row],[姓]]=表5_710111213141516[[#This Row],[男名]]=表5_710111213141516[[#This Row],[女名]]="","",10000000+ROW()-4)</f>
        <v>10000442</v>
      </c>
      <c r="D446" s="32" t="s">
        <v>898</v>
      </c>
      <c r="E446" s="32"/>
      <c r="F446" s="32"/>
      <c r="G446" s="8"/>
    </row>
    <row r="447" spans="1:7" x14ac:dyDescent="0.35">
      <c r="A447" s="8"/>
      <c r="B447" s="26">
        <v>100</v>
      </c>
      <c r="C447" s="26">
        <f>IF(表5_710111213141516[[#This Row],[姓]]=表5_710111213141516[[#This Row],[男名]]=表5_710111213141516[[#This Row],[女名]]="","",10000000+ROW()-4)</f>
        <v>10000443</v>
      </c>
      <c r="D447" s="32" t="s">
        <v>899</v>
      </c>
      <c r="E447" s="32"/>
      <c r="F447" s="32"/>
      <c r="G447" s="8"/>
    </row>
    <row r="448" spans="1:7" x14ac:dyDescent="0.35">
      <c r="A448" s="8"/>
      <c r="B448" s="26">
        <v>100</v>
      </c>
      <c r="C448" s="26">
        <f>IF(表5_710111213141516[[#This Row],[姓]]=表5_710111213141516[[#This Row],[男名]]=表5_710111213141516[[#This Row],[女名]]="","",10000000+ROW()-4)</f>
        <v>10000444</v>
      </c>
      <c r="D448" s="32" t="s">
        <v>900</v>
      </c>
      <c r="E448" s="32"/>
      <c r="F448" s="32"/>
      <c r="G448" s="8"/>
    </row>
    <row r="449" spans="1:7" x14ac:dyDescent="0.35">
      <c r="A449" s="8"/>
      <c r="B449" s="26">
        <v>100</v>
      </c>
      <c r="C449" s="26">
        <f>IF(表5_710111213141516[[#This Row],[姓]]=表5_710111213141516[[#This Row],[男名]]=表5_710111213141516[[#This Row],[女名]]="","",10000000+ROW()-4)</f>
        <v>10000445</v>
      </c>
      <c r="D449" s="32" t="s">
        <v>901</v>
      </c>
      <c r="E449" s="32"/>
      <c r="F449" s="32"/>
      <c r="G449" s="8"/>
    </row>
    <row r="450" spans="1:7" x14ac:dyDescent="0.35">
      <c r="A450" s="8"/>
      <c r="B450" s="26">
        <v>100</v>
      </c>
      <c r="C450" s="26">
        <f>IF(表5_710111213141516[[#This Row],[姓]]=表5_710111213141516[[#This Row],[男名]]=表5_710111213141516[[#This Row],[女名]]="","",10000000+ROW()-4)</f>
        <v>10000446</v>
      </c>
      <c r="D450" s="32" t="s">
        <v>902</v>
      </c>
      <c r="E450" s="32"/>
      <c r="F450" s="32"/>
      <c r="G450" s="8"/>
    </row>
    <row r="451" spans="1:7" x14ac:dyDescent="0.35">
      <c r="A451" s="8"/>
      <c r="B451" s="26">
        <v>100</v>
      </c>
      <c r="C451" s="26">
        <f>IF(表5_710111213141516[[#This Row],[姓]]=表5_710111213141516[[#This Row],[男名]]=表5_710111213141516[[#This Row],[女名]]="","",10000000+ROW()-4)</f>
        <v>10000447</v>
      </c>
      <c r="D451" s="32" t="s">
        <v>903</v>
      </c>
      <c r="E451" s="32"/>
      <c r="F451" s="32"/>
      <c r="G451" s="8"/>
    </row>
    <row r="452" spans="1:7" x14ac:dyDescent="0.35">
      <c r="A452" s="8"/>
      <c r="B452" s="26">
        <v>100</v>
      </c>
      <c r="C452" s="26">
        <f>IF(表5_710111213141516[[#This Row],[姓]]=表5_710111213141516[[#This Row],[男名]]=表5_710111213141516[[#This Row],[女名]]="","",10000000+ROW()-4)</f>
        <v>10000448</v>
      </c>
      <c r="D452" s="32" t="s">
        <v>904</v>
      </c>
      <c r="E452" s="32"/>
      <c r="F452" s="32"/>
      <c r="G452" s="8"/>
    </row>
    <row r="453" spans="1:7" x14ac:dyDescent="0.35">
      <c r="A453" s="8"/>
      <c r="B453" s="26">
        <v>100</v>
      </c>
      <c r="C453" s="26">
        <f>IF(表5_710111213141516[[#This Row],[姓]]=表5_710111213141516[[#This Row],[男名]]=表5_710111213141516[[#This Row],[女名]]="","",10000000+ROW()-4)</f>
        <v>10000449</v>
      </c>
      <c r="D453" s="32" t="s">
        <v>905</v>
      </c>
      <c r="E453" s="32"/>
      <c r="F453" s="32"/>
      <c r="G453" s="8"/>
    </row>
    <row r="454" spans="1:7" x14ac:dyDescent="0.35">
      <c r="A454" s="8"/>
      <c r="B454" s="26">
        <v>100</v>
      </c>
      <c r="C454" s="26">
        <f>IF(表5_710111213141516[[#This Row],[姓]]=表5_710111213141516[[#This Row],[男名]]=表5_710111213141516[[#This Row],[女名]]="","",10000000+ROW()-4)</f>
        <v>10000450</v>
      </c>
      <c r="D454" s="32" t="s">
        <v>906</v>
      </c>
      <c r="E454" s="32"/>
      <c r="F454" s="32"/>
      <c r="G454" s="8"/>
    </row>
    <row r="455" spans="1:7" x14ac:dyDescent="0.35">
      <c r="A455" s="8"/>
      <c r="B455" s="26">
        <v>100</v>
      </c>
      <c r="C455" s="26">
        <f>IF(表5_710111213141516[[#This Row],[姓]]=表5_710111213141516[[#This Row],[男名]]=表5_710111213141516[[#This Row],[女名]]="","",10000000+ROW()-4)</f>
        <v>10000451</v>
      </c>
      <c r="D455" s="32" t="s">
        <v>907</v>
      </c>
      <c r="E455" s="32"/>
      <c r="F455" s="32"/>
      <c r="G455" s="8"/>
    </row>
    <row r="456" spans="1:7" x14ac:dyDescent="0.35">
      <c r="A456" s="8"/>
      <c r="B456" s="26">
        <v>100</v>
      </c>
      <c r="C456" s="26">
        <f>IF(表5_710111213141516[[#This Row],[姓]]=表5_710111213141516[[#This Row],[男名]]=表5_710111213141516[[#This Row],[女名]]="","",10000000+ROW()-4)</f>
        <v>10000452</v>
      </c>
      <c r="D456" s="32" t="s">
        <v>908</v>
      </c>
      <c r="E456" s="32"/>
      <c r="F456" s="32"/>
      <c r="G456" s="8"/>
    </row>
    <row r="457" spans="1:7" x14ac:dyDescent="0.35">
      <c r="A457" s="8"/>
      <c r="B457" s="26">
        <v>100</v>
      </c>
      <c r="C457" s="26">
        <f>IF(表5_710111213141516[[#This Row],[姓]]=表5_710111213141516[[#This Row],[男名]]=表5_710111213141516[[#This Row],[女名]]="","",10000000+ROW()-4)</f>
        <v>10000453</v>
      </c>
      <c r="D457" s="32" t="s">
        <v>909</v>
      </c>
      <c r="E457" s="32"/>
      <c r="F457" s="32"/>
      <c r="G457" s="8"/>
    </row>
    <row r="458" spans="1:7" x14ac:dyDescent="0.35">
      <c r="A458" s="8"/>
      <c r="B458" s="26">
        <v>100</v>
      </c>
      <c r="C458" s="26">
        <f>IF(表5_710111213141516[[#This Row],[姓]]=表5_710111213141516[[#This Row],[男名]]=表5_710111213141516[[#This Row],[女名]]="","",10000000+ROW()-4)</f>
        <v>10000454</v>
      </c>
      <c r="D458" s="32" t="s">
        <v>910</v>
      </c>
      <c r="E458" s="32"/>
      <c r="F458" s="32"/>
      <c r="G458" s="8"/>
    </row>
    <row r="459" spans="1:7" x14ac:dyDescent="0.35">
      <c r="A459" s="8"/>
      <c r="B459" s="26">
        <v>100</v>
      </c>
      <c r="C459" s="26">
        <f>IF(表5_710111213141516[[#This Row],[姓]]=表5_710111213141516[[#This Row],[男名]]=表5_710111213141516[[#This Row],[女名]]="","",10000000+ROW()-4)</f>
        <v>10000455</v>
      </c>
      <c r="D459" s="32" t="s">
        <v>911</v>
      </c>
      <c r="E459" s="32"/>
      <c r="F459" s="32"/>
      <c r="G459" s="8"/>
    </row>
    <row r="460" spans="1:7" x14ac:dyDescent="0.35">
      <c r="A460" s="8"/>
      <c r="B460" s="26">
        <v>100</v>
      </c>
      <c r="C460" s="26">
        <f>IF(表5_710111213141516[[#This Row],[姓]]=表5_710111213141516[[#This Row],[男名]]=表5_710111213141516[[#This Row],[女名]]="","",10000000+ROW()-4)</f>
        <v>10000456</v>
      </c>
      <c r="D460" s="32" t="s">
        <v>830</v>
      </c>
      <c r="E460" s="32"/>
      <c r="F460" s="32"/>
      <c r="G460" s="8"/>
    </row>
    <row r="461" spans="1:7" x14ac:dyDescent="0.35">
      <c r="A461" s="8"/>
      <c r="B461" s="26">
        <v>100</v>
      </c>
      <c r="C461" s="26">
        <f>IF(表5_710111213141516[[#This Row],[姓]]=表5_710111213141516[[#This Row],[男名]]=表5_710111213141516[[#This Row],[女名]]="","",10000000+ROW()-4)</f>
        <v>10000457</v>
      </c>
      <c r="D461" s="32" t="s">
        <v>831</v>
      </c>
      <c r="E461" s="32"/>
      <c r="F461" s="32"/>
      <c r="G461" s="8"/>
    </row>
    <row r="462" spans="1:7" x14ac:dyDescent="0.35">
      <c r="A462" s="8"/>
      <c r="B462" s="26">
        <v>100</v>
      </c>
      <c r="C462" s="26">
        <f>IF(表5_710111213141516[[#This Row],[姓]]=表5_710111213141516[[#This Row],[男名]]=表5_710111213141516[[#This Row],[女名]]="","",10000000+ROW()-4)</f>
        <v>10000458</v>
      </c>
      <c r="D462" s="32" t="s">
        <v>832</v>
      </c>
      <c r="E462" s="32"/>
      <c r="F462" s="32"/>
      <c r="G462" s="8"/>
    </row>
    <row r="463" spans="1:7" x14ac:dyDescent="0.35">
      <c r="A463" s="8"/>
      <c r="B463" s="26">
        <v>100</v>
      </c>
      <c r="C463" s="26">
        <f>IF(表5_710111213141516[[#This Row],[姓]]=表5_710111213141516[[#This Row],[男名]]=表5_710111213141516[[#This Row],[女名]]="","",10000000+ROW()-4)</f>
        <v>10000459</v>
      </c>
      <c r="D463" s="32" t="s">
        <v>833</v>
      </c>
      <c r="E463" s="32"/>
      <c r="F463" s="32"/>
      <c r="G463" s="8"/>
    </row>
    <row r="464" spans="1:7" x14ac:dyDescent="0.35">
      <c r="A464" s="8"/>
      <c r="B464" s="26">
        <v>100</v>
      </c>
      <c r="C464" s="26">
        <f>IF(表5_710111213141516[[#This Row],[姓]]=表5_710111213141516[[#This Row],[男名]]=表5_710111213141516[[#This Row],[女名]]="","",10000000+ROW()-4)</f>
        <v>10000460</v>
      </c>
      <c r="D464" s="32" t="s">
        <v>834</v>
      </c>
      <c r="E464" s="32"/>
      <c r="F464" s="32"/>
      <c r="G464" s="8"/>
    </row>
    <row r="465" spans="1:7" x14ac:dyDescent="0.35">
      <c r="A465" s="8"/>
      <c r="B465" s="26">
        <v>100</v>
      </c>
      <c r="C465" s="26">
        <f>IF(表5_710111213141516[[#This Row],[姓]]=表5_710111213141516[[#This Row],[男名]]=表5_710111213141516[[#This Row],[女名]]="","",10000000+ROW()-4)</f>
        <v>10000461</v>
      </c>
      <c r="D465" s="32" t="s">
        <v>835</v>
      </c>
      <c r="E465" s="32"/>
      <c r="F465" s="32"/>
      <c r="G465" s="8"/>
    </row>
    <row r="466" spans="1:7" x14ac:dyDescent="0.35">
      <c r="A466" s="8"/>
      <c r="B466" s="26">
        <v>100</v>
      </c>
      <c r="C466" s="26">
        <f>IF(表5_710111213141516[[#This Row],[姓]]=表5_710111213141516[[#This Row],[男名]]=表5_710111213141516[[#This Row],[女名]]="","",10000000+ROW()-4)</f>
        <v>10000462</v>
      </c>
      <c r="D466" s="32" t="s">
        <v>836</v>
      </c>
      <c r="E466" s="32"/>
      <c r="F466" s="32"/>
      <c r="G466" s="8"/>
    </row>
    <row r="467" spans="1:7" x14ac:dyDescent="0.35">
      <c r="A467" s="8"/>
      <c r="B467" s="26">
        <v>100</v>
      </c>
      <c r="C467" s="26">
        <f>IF(表5_710111213141516[[#This Row],[姓]]=表5_710111213141516[[#This Row],[男名]]=表5_710111213141516[[#This Row],[女名]]="","",10000000+ROW()-4)</f>
        <v>10000463</v>
      </c>
      <c r="D467" s="32" t="s">
        <v>837</v>
      </c>
      <c r="E467" s="32"/>
      <c r="F467" s="32"/>
      <c r="G467" s="8"/>
    </row>
    <row r="468" spans="1:7" x14ac:dyDescent="0.35">
      <c r="A468" s="8"/>
      <c r="B468" s="26">
        <v>100</v>
      </c>
      <c r="C468" s="26">
        <f>IF(表5_710111213141516[[#This Row],[姓]]=表5_710111213141516[[#This Row],[男名]]=表5_710111213141516[[#This Row],[女名]]="","",10000000+ROW()-4)</f>
        <v>10000464</v>
      </c>
      <c r="D468" s="32" t="s">
        <v>912</v>
      </c>
      <c r="E468" s="32"/>
      <c r="F468" s="32"/>
      <c r="G468" s="8"/>
    </row>
    <row r="469" spans="1:7" x14ac:dyDescent="0.35">
      <c r="A469" s="8"/>
      <c r="B469" s="26">
        <v>100</v>
      </c>
      <c r="C469" s="26">
        <f>IF(表5_710111213141516[[#This Row],[姓]]=表5_710111213141516[[#This Row],[男名]]=表5_710111213141516[[#This Row],[女名]]="","",10000000+ROW()-4)</f>
        <v>10000465</v>
      </c>
      <c r="D469" s="32" t="s">
        <v>913</v>
      </c>
      <c r="E469" s="32"/>
      <c r="F469" s="32"/>
      <c r="G469" s="8"/>
    </row>
    <row r="470" spans="1:7" x14ac:dyDescent="0.35">
      <c r="A470" s="8"/>
      <c r="B470" s="26">
        <v>100</v>
      </c>
      <c r="C470" s="26">
        <f>IF(表5_710111213141516[[#This Row],[姓]]=表5_710111213141516[[#This Row],[男名]]=表5_710111213141516[[#This Row],[女名]]="","",10000000+ROW()-4)</f>
        <v>10000466</v>
      </c>
      <c r="D470" s="32" t="s">
        <v>914</v>
      </c>
      <c r="E470" s="32"/>
      <c r="F470" s="32"/>
      <c r="G470" s="8"/>
    </row>
    <row r="471" spans="1:7" x14ac:dyDescent="0.35">
      <c r="A471" s="8"/>
      <c r="B471" s="26">
        <v>100</v>
      </c>
      <c r="C471" s="26">
        <f>IF(表5_710111213141516[[#This Row],[姓]]=表5_710111213141516[[#This Row],[男名]]=表5_710111213141516[[#This Row],[女名]]="","",10000000+ROW()-4)</f>
        <v>10000467</v>
      </c>
      <c r="D471" s="32" t="s">
        <v>915</v>
      </c>
      <c r="E471" s="32"/>
      <c r="F471" s="32"/>
      <c r="G471" s="8"/>
    </row>
    <row r="472" spans="1:7" x14ac:dyDescent="0.35">
      <c r="A472" s="8"/>
      <c r="B472" s="26">
        <v>100</v>
      </c>
      <c r="C472" s="26">
        <f>IF(表5_710111213141516[[#This Row],[姓]]=表5_710111213141516[[#This Row],[男名]]=表5_710111213141516[[#This Row],[女名]]="","",10000000+ROW()-4)</f>
        <v>10000468</v>
      </c>
      <c r="D472" s="32" t="s">
        <v>916</v>
      </c>
      <c r="E472" s="32"/>
      <c r="F472" s="32"/>
      <c r="G472" s="8"/>
    </row>
    <row r="473" spans="1:7" x14ac:dyDescent="0.35">
      <c r="A473" s="8"/>
      <c r="B473" s="26">
        <v>100</v>
      </c>
      <c r="C473" s="26">
        <f>IF(表5_710111213141516[[#This Row],[姓]]=表5_710111213141516[[#This Row],[男名]]=表5_710111213141516[[#This Row],[女名]]="","",10000000+ROW()-4)</f>
        <v>10000469</v>
      </c>
      <c r="D473" s="32" t="s">
        <v>838</v>
      </c>
      <c r="E473" s="32"/>
      <c r="F473" s="32"/>
      <c r="G473" s="8"/>
    </row>
    <row r="474" spans="1:7" x14ac:dyDescent="0.35">
      <c r="A474" s="8"/>
      <c r="B474" s="26">
        <v>100</v>
      </c>
      <c r="C474" s="26">
        <f>IF(表5_710111213141516[[#This Row],[姓]]=表5_710111213141516[[#This Row],[男名]]=表5_710111213141516[[#This Row],[女名]]="","",10000000+ROW()-4)</f>
        <v>10000470</v>
      </c>
      <c r="D474" s="32" t="s">
        <v>839</v>
      </c>
      <c r="E474" s="32"/>
      <c r="F474" s="32"/>
      <c r="G474" s="8"/>
    </row>
    <row r="475" spans="1:7" x14ac:dyDescent="0.35">
      <c r="A475" s="8"/>
      <c r="B475" s="26">
        <v>100</v>
      </c>
      <c r="C475" s="26">
        <f>IF(表5_710111213141516[[#This Row],[姓]]=表5_710111213141516[[#This Row],[男名]]=表5_710111213141516[[#This Row],[女名]]="","",10000000+ROW()-4)</f>
        <v>10000471</v>
      </c>
      <c r="D475" s="32" t="s">
        <v>917</v>
      </c>
      <c r="E475" s="32"/>
      <c r="F475" s="32"/>
      <c r="G475" s="8"/>
    </row>
    <row r="476" spans="1:7" x14ac:dyDescent="0.35">
      <c r="A476" s="8"/>
      <c r="B476" s="26">
        <v>100</v>
      </c>
      <c r="C476" s="26">
        <f>IF(表5_710111213141516[[#This Row],[姓]]=表5_710111213141516[[#This Row],[男名]]=表5_710111213141516[[#This Row],[女名]]="","",10000000+ROW()-4)</f>
        <v>10000472</v>
      </c>
      <c r="D476" s="32" t="s">
        <v>918</v>
      </c>
      <c r="E476" s="32"/>
      <c r="F476" s="32"/>
      <c r="G476" s="8"/>
    </row>
    <row r="477" spans="1:7" x14ac:dyDescent="0.35">
      <c r="A477" s="8"/>
      <c r="B477" s="26">
        <v>100</v>
      </c>
      <c r="C477" s="26">
        <f>IF(表5_710111213141516[[#This Row],[姓]]=表5_710111213141516[[#This Row],[男名]]=表5_710111213141516[[#This Row],[女名]]="","",10000000+ROW()-4)</f>
        <v>10000473</v>
      </c>
      <c r="D477" s="32" t="s">
        <v>840</v>
      </c>
      <c r="E477" s="32"/>
      <c r="F477" s="32"/>
      <c r="G477" s="8"/>
    </row>
    <row r="478" spans="1:7" x14ac:dyDescent="0.35">
      <c r="A478" s="8"/>
      <c r="B478" s="26">
        <v>100</v>
      </c>
      <c r="C478" s="26">
        <f>IF(表5_710111213141516[[#This Row],[姓]]=表5_710111213141516[[#This Row],[男名]]=表5_710111213141516[[#This Row],[女名]]="","",10000000+ROW()-4)</f>
        <v>10000474</v>
      </c>
      <c r="D478" s="32" t="s">
        <v>841</v>
      </c>
      <c r="E478" s="32"/>
      <c r="F478" s="32"/>
      <c r="G478" s="8"/>
    </row>
    <row r="479" spans="1:7" x14ac:dyDescent="0.35">
      <c r="A479" s="8"/>
      <c r="B479" s="26">
        <v>100</v>
      </c>
      <c r="C479" s="26">
        <f>IF(表5_710111213141516[[#This Row],[姓]]=表5_710111213141516[[#This Row],[男名]]=表5_710111213141516[[#This Row],[女名]]="","",10000000+ROW()-4)</f>
        <v>10000475</v>
      </c>
      <c r="D479" s="32" t="s">
        <v>842</v>
      </c>
      <c r="E479" s="32"/>
      <c r="F479" s="32"/>
      <c r="G479" s="8"/>
    </row>
    <row r="480" spans="1:7" x14ac:dyDescent="0.35">
      <c r="A480" s="8"/>
      <c r="B480" s="26">
        <v>100</v>
      </c>
      <c r="C480" s="26">
        <f>IF(表5_710111213141516[[#This Row],[姓]]=表5_710111213141516[[#This Row],[男名]]=表5_710111213141516[[#This Row],[女名]]="","",10000000+ROW()-4)</f>
        <v>10000476</v>
      </c>
      <c r="D480" s="32" t="s">
        <v>843</v>
      </c>
      <c r="E480" s="32"/>
      <c r="F480" s="32"/>
      <c r="G480" s="8"/>
    </row>
    <row r="481" spans="1:7" x14ac:dyDescent="0.35">
      <c r="A481" s="8"/>
      <c r="B481" s="26">
        <v>100</v>
      </c>
      <c r="C481" s="26">
        <f>IF(表5_710111213141516[[#This Row],[姓]]=表5_710111213141516[[#This Row],[男名]]=表5_710111213141516[[#This Row],[女名]]="","",10000000+ROW()-4)</f>
        <v>10000477</v>
      </c>
      <c r="D481" s="32" t="s">
        <v>844</v>
      </c>
      <c r="E481" s="32"/>
      <c r="F481" s="32"/>
      <c r="G481" s="8"/>
    </row>
    <row r="482" spans="1:7" x14ac:dyDescent="0.35">
      <c r="A482" s="8"/>
      <c r="B482" s="26">
        <v>100</v>
      </c>
      <c r="C482" s="26">
        <f>IF(表5_710111213141516[[#This Row],[姓]]=表5_710111213141516[[#This Row],[男名]]=表5_710111213141516[[#This Row],[女名]]="","",10000000+ROW()-4)</f>
        <v>10000478</v>
      </c>
      <c r="D482" s="32" t="s">
        <v>845</v>
      </c>
      <c r="E482" s="32"/>
      <c r="F482" s="32"/>
      <c r="G482" s="8"/>
    </row>
    <row r="483" spans="1:7" x14ac:dyDescent="0.35">
      <c r="A483" s="8"/>
      <c r="B483" s="26">
        <v>100</v>
      </c>
      <c r="C483" s="26">
        <f>IF(表5_710111213141516[[#This Row],[姓]]=表5_710111213141516[[#This Row],[男名]]=表5_710111213141516[[#This Row],[女名]]="","",10000000+ROW()-4)</f>
        <v>10000479</v>
      </c>
      <c r="D483" s="32" t="s">
        <v>846</v>
      </c>
      <c r="E483" s="32"/>
      <c r="F483" s="32"/>
      <c r="G483" s="8"/>
    </row>
    <row r="484" spans="1:7" x14ac:dyDescent="0.35">
      <c r="A484" s="8"/>
      <c r="B484" s="26">
        <v>100</v>
      </c>
      <c r="C484" s="26">
        <f>IF(表5_710111213141516[[#This Row],[姓]]=表5_710111213141516[[#This Row],[男名]]=表5_710111213141516[[#This Row],[女名]]="","",10000000+ROW()-4)</f>
        <v>10000480</v>
      </c>
      <c r="D484" s="32" t="s">
        <v>919</v>
      </c>
      <c r="E484" s="32"/>
      <c r="F484" s="32"/>
      <c r="G484" s="8"/>
    </row>
    <row r="485" spans="1:7" x14ac:dyDescent="0.35">
      <c r="A485" s="8"/>
      <c r="B485" s="26">
        <v>100</v>
      </c>
      <c r="C485" s="26">
        <f>IF(表5_710111213141516[[#This Row],[姓]]=表5_710111213141516[[#This Row],[男名]]=表5_710111213141516[[#This Row],[女名]]="","",10000000+ROW()-4)</f>
        <v>10000481</v>
      </c>
      <c r="D485" s="32" t="s">
        <v>920</v>
      </c>
      <c r="E485" s="32"/>
      <c r="F485" s="32"/>
      <c r="G485" s="8"/>
    </row>
    <row r="486" spans="1:7" x14ac:dyDescent="0.35">
      <c r="A486" s="8"/>
      <c r="B486" s="26">
        <v>100</v>
      </c>
      <c r="C486" s="26">
        <f>IF(表5_710111213141516[[#This Row],[姓]]=表5_710111213141516[[#This Row],[男名]]=表5_710111213141516[[#This Row],[女名]]="","",10000000+ROW()-4)</f>
        <v>10000482</v>
      </c>
      <c r="D486" s="32" t="s">
        <v>921</v>
      </c>
      <c r="E486" s="32"/>
      <c r="F486" s="32"/>
      <c r="G486" s="8"/>
    </row>
    <row r="487" spans="1:7" x14ac:dyDescent="0.35">
      <c r="A487" s="8"/>
      <c r="B487" s="26">
        <v>100</v>
      </c>
      <c r="C487" s="26">
        <f>IF(表5_710111213141516[[#This Row],[姓]]=表5_710111213141516[[#This Row],[男名]]=表5_710111213141516[[#This Row],[女名]]="","",10000000+ROW()-4)</f>
        <v>10000483</v>
      </c>
      <c r="D487" s="32" t="s">
        <v>922</v>
      </c>
      <c r="E487" s="32"/>
      <c r="F487" s="32"/>
      <c r="G487" s="8"/>
    </row>
    <row r="488" spans="1:7" x14ac:dyDescent="0.35">
      <c r="A488" s="8"/>
      <c r="B488" s="26">
        <v>100</v>
      </c>
      <c r="C488" s="26">
        <f>IF(表5_710111213141516[[#This Row],[姓]]=表5_710111213141516[[#This Row],[男名]]=表5_710111213141516[[#This Row],[女名]]="","",10000000+ROW()-4)</f>
        <v>10000484</v>
      </c>
      <c r="D488" s="32" t="s">
        <v>847</v>
      </c>
      <c r="E488" s="32"/>
      <c r="F488" s="32"/>
      <c r="G488" s="8"/>
    </row>
    <row r="489" spans="1:7" x14ac:dyDescent="0.35">
      <c r="A489" s="8"/>
      <c r="B489" s="26">
        <v>100</v>
      </c>
      <c r="C489" s="26">
        <f>IF(表5_710111213141516[[#This Row],[姓]]=表5_710111213141516[[#This Row],[男名]]=表5_710111213141516[[#This Row],[女名]]="","",10000000+ROW()-4)</f>
        <v>10000485</v>
      </c>
      <c r="D489" s="32" t="s">
        <v>848</v>
      </c>
      <c r="E489" s="32"/>
      <c r="F489" s="32"/>
      <c r="G489" s="8"/>
    </row>
    <row r="490" spans="1:7" x14ac:dyDescent="0.35">
      <c r="A490" s="8"/>
      <c r="B490" s="26">
        <v>100</v>
      </c>
      <c r="C490" s="26">
        <f>IF(表5_710111213141516[[#This Row],[姓]]=表5_710111213141516[[#This Row],[男名]]=表5_710111213141516[[#This Row],[女名]]="","",10000000+ROW()-4)</f>
        <v>10000486</v>
      </c>
      <c r="D490" s="32" t="s">
        <v>849</v>
      </c>
      <c r="E490" s="32"/>
      <c r="F490" s="32"/>
      <c r="G490" s="8"/>
    </row>
    <row r="491" spans="1:7" x14ac:dyDescent="0.35">
      <c r="A491" s="8"/>
      <c r="B491" s="26">
        <v>100</v>
      </c>
      <c r="C491" s="26">
        <f>IF(表5_710111213141516[[#This Row],[姓]]=表5_710111213141516[[#This Row],[男名]]=表5_710111213141516[[#This Row],[女名]]="","",10000000+ROW()-4)</f>
        <v>10000487</v>
      </c>
      <c r="D491" s="32" t="s">
        <v>850</v>
      </c>
      <c r="E491" s="32"/>
      <c r="F491" s="32"/>
      <c r="G491" s="8"/>
    </row>
    <row r="492" spans="1:7" x14ac:dyDescent="0.35">
      <c r="A492" s="8"/>
      <c r="B492" s="26">
        <v>100</v>
      </c>
      <c r="C492" s="26">
        <f>IF(表5_710111213141516[[#This Row],[姓]]=表5_710111213141516[[#This Row],[男名]]=表5_710111213141516[[#This Row],[女名]]="","",10000000+ROW()-4)</f>
        <v>10000488</v>
      </c>
      <c r="D492" s="32" t="s">
        <v>851</v>
      </c>
      <c r="E492" s="32"/>
      <c r="F492" s="32"/>
      <c r="G492" s="8"/>
    </row>
    <row r="493" spans="1:7" x14ac:dyDescent="0.35">
      <c r="A493" s="8"/>
      <c r="B493" s="26">
        <v>100</v>
      </c>
      <c r="C493" s="26">
        <f>IF(表5_710111213141516[[#This Row],[姓]]=表5_710111213141516[[#This Row],[男名]]=表5_710111213141516[[#This Row],[女名]]="","",10000000+ROW()-4)</f>
        <v>10000489</v>
      </c>
      <c r="D493" s="32" t="s">
        <v>852</v>
      </c>
      <c r="E493" s="32"/>
      <c r="F493" s="32"/>
      <c r="G493" s="8"/>
    </row>
    <row r="494" spans="1:7" x14ac:dyDescent="0.35">
      <c r="A494" s="8"/>
      <c r="B494" s="26">
        <v>100</v>
      </c>
      <c r="C494" s="26">
        <f>IF(表5_710111213141516[[#This Row],[姓]]=表5_710111213141516[[#This Row],[男名]]=表5_710111213141516[[#This Row],[女名]]="","",10000000+ROW()-4)</f>
        <v>10000490</v>
      </c>
      <c r="D494" s="32" t="s">
        <v>923</v>
      </c>
      <c r="E494" s="32"/>
      <c r="F494" s="32"/>
      <c r="G494" s="8"/>
    </row>
    <row r="495" spans="1:7" x14ac:dyDescent="0.35">
      <c r="A495" s="8"/>
      <c r="B495" s="26">
        <v>100</v>
      </c>
      <c r="C495" s="26">
        <f>IF(表5_710111213141516[[#This Row],[姓]]=表5_710111213141516[[#This Row],[男名]]=表5_710111213141516[[#This Row],[女名]]="","",10000000+ROW()-4)</f>
        <v>10000491</v>
      </c>
      <c r="D495" s="32" t="s">
        <v>853</v>
      </c>
      <c r="E495" s="32"/>
      <c r="F495" s="32"/>
      <c r="G495" s="8"/>
    </row>
    <row r="496" spans="1:7" x14ac:dyDescent="0.35">
      <c r="A496" s="8"/>
      <c r="B496" s="26">
        <v>100</v>
      </c>
      <c r="C496" s="26">
        <f>IF(表5_710111213141516[[#This Row],[姓]]=表5_710111213141516[[#This Row],[男名]]=表5_710111213141516[[#This Row],[女名]]="","",10000000+ROW()-4)</f>
        <v>10000492</v>
      </c>
      <c r="D496" s="32" t="s">
        <v>854</v>
      </c>
      <c r="E496" s="32"/>
      <c r="F496" s="32"/>
      <c r="G496" s="8"/>
    </row>
    <row r="497" spans="1:7" x14ac:dyDescent="0.35">
      <c r="A497" s="8"/>
      <c r="B497" s="26">
        <v>100</v>
      </c>
      <c r="C497" s="26">
        <f>IF(表5_710111213141516[[#This Row],[姓]]=表5_710111213141516[[#This Row],[男名]]=表5_710111213141516[[#This Row],[女名]]="","",10000000+ROW()-4)</f>
        <v>10000493</v>
      </c>
      <c r="D497" s="32" t="s">
        <v>855</v>
      </c>
      <c r="E497" s="32"/>
      <c r="F497" s="32"/>
      <c r="G497" s="8"/>
    </row>
    <row r="498" spans="1:7" x14ac:dyDescent="0.35">
      <c r="A498" s="8"/>
      <c r="B498" s="26">
        <v>100</v>
      </c>
      <c r="C498" s="26">
        <f>IF(表5_710111213141516[[#This Row],[姓]]=表5_710111213141516[[#This Row],[男名]]=表5_710111213141516[[#This Row],[女名]]="","",10000000+ROW()-4)</f>
        <v>10000494</v>
      </c>
      <c r="D498" s="32" t="s">
        <v>856</v>
      </c>
      <c r="E498" s="32"/>
      <c r="F498" s="32"/>
      <c r="G498" s="8"/>
    </row>
    <row r="499" spans="1:7" x14ac:dyDescent="0.35">
      <c r="A499" s="8"/>
      <c r="B499" s="26">
        <v>100</v>
      </c>
      <c r="C499" s="26">
        <f>IF(表5_710111213141516[[#This Row],[姓]]=表5_710111213141516[[#This Row],[男名]]=表5_710111213141516[[#This Row],[女名]]="","",10000000+ROW()-4)</f>
        <v>10000495</v>
      </c>
      <c r="D499" s="32" t="s">
        <v>857</v>
      </c>
      <c r="E499" s="32"/>
      <c r="F499" s="32"/>
      <c r="G499" s="8"/>
    </row>
    <row r="500" spans="1:7" x14ac:dyDescent="0.35">
      <c r="A500" s="8"/>
      <c r="B500" s="26">
        <v>100</v>
      </c>
      <c r="C500" s="26">
        <f>IF(表5_710111213141516[[#This Row],[姓]]=表5_710111213141516[[#This Row],[男名]]=表5_710111213141516[[#This Row],[女名]]="","",10000000+ROW()-4)</f>
        <v>10000496</v>
      </c>
      <c r="D500" s="32" t="s">
        <v>858</v>
      </c>
      <c r="E500" s="32"/>
      <c r="F500" s="32"/>
      <c r="G500" s="8"/>
    </row>
    <row r="501" spans="1:7" x14ac:dyDescent="0.35">
      <c r="A501" s="8"/>
      <c r="B501" s="26">
        <v>100</v>
      </c>
      <c r="C501" s="26">
        <f>IF(表5_710111213141516[[#This Row],[姓]]=表5_710111213141516[[#This Row],[男名]]=表5_710111213141516[[#This Row],[女名]]="","",10000000+ROW()-4)</f>
        <v>10000497</v>
      </c>
      <c r="D501" s="32" t="s">
        <v>829</v>
      </c>
      <c r="E501" s="32"/>
      <c r="F501" s="32"/>
      <c r="G501" s="8"/>
    </row>
    <row r="502" spans="1:7" x14ac:dyDescent="0.35">
      <c r="A502" s="8"/>
      <c r="B502" s="26">
        <v>100</v>
      </c>
      <c r="C502" s="26">
        <f>IF(表5_710111213141516[[#This Row],[姓]]=表5_710111213141516[[#This Row],[男名]]=表5_710111213141516[[#This Row],[女名]]="","",10000000+ROW()-4)</f>
        <v>10000498</v>
      </c>
      <c r="D502" s="32" t="s">
        <v>859</v>
      </c>
      <c r="E502" s="32"/>
      <c r="F502" s="32"/>
      <c r="G502" s="8"/>
    </row>
    <row r="503" spans="1:7" x14ac:dyDescent="0.35">
      <c r="A503" s="8"/>
      <c r="B503" s="26">
        <v>100</v>
      </c>
      <c r="C503" s="26">
        <f>IF(表5_710111213141516[[#This Row],[姓]]=表5_710111213141516[[#This Row],[男名]]=表5_710111213141516[[#This Row],[女名]]="","",10000000+ROW()-4)</f>
        <v>10000499</v>
      </c>
      <c r="D503" s="32" t="s">
        <v>860</v>
      </c>
      <c r="E503" s="32"/>
      <c r="F503" s="32"/>
      <c r="G503" s="8"/>
    </row>
    <row r="504" spans="1:7" x14ac:dyDescent="0.35">
      <c r="A504" s="8"/>
      <c r="B504" s="26">
        <v>100</v>
      </c>
      <c r="C504" s="26">
        <f>IF(表5_710111213141516[[#This Row],[姓]]=表5_710111213141516[[#This Row],[男名]]=表5_710111213141516[[#This Row],[女名]]="","",10000000+ROW()-4)</f>
        <v>10000500</v>
      </c>
      <c r="D504" s="32" t="s">
        <v>861</v>
      </c>
      <c r="E504" s="32"/>
      <c r="F504" s="32"/>
      <c r="G504" s="8"/>
    </row>
    <row r="505" spans="1:7" x14ac:dyDescent="0.35">
      <c r="A505" s="8"/>
      <c r="B505" s="26">
        <v>100</v>
      </c>
      <c r="C505" s="26">
        <f>IF(表5_710111213141516[[#This Row],[姓]]=表5_710111213141516[[#This Row],[男名]]=表5_710111213141516[[#This Row],[女名]]="","",10000000+ROW()-4)</f>
        <v>10000501</v>
      </c>
      <c r="D505" s="32" t="s">
        <v>862</v>
      </c>
      <c r="E505" s="32"/>
      <c r="F505" s="32"/>
      <c r="G505" s="8"/>
    </row>
    <row r="506" spans="1:7" x14ac:dyDescent="0.35">
      <c r="A506" s="8"/>
      <c r="B506" s="26">
        <v>100</v>
      </c>
      <c r="C506" s="26">
        <f>IF(表5_710111213141516[[#This Row],[姓]]=表5_710111213141516[[#This Row],[男名]]=表5_710111213141516[[#This Row],[女名]]="","",10000000+ROW()-4)</f>
        <v>10000502</v>
      </c>
      <c r="D506" s="32" t="s">
        <v>863</v>
      </c>
      <c r="E506" s="32"/>
      <c r="F506" s="32"/>
      <c r="G506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1F222-69ED-49A5-B0C4-B00DEE7B5218}">
  <sheetPr codeName="Sheet11">
    <tabColor rgb="FFC00000"/>
  </sheetPr>
  <dimension ref="A1:R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7" width="15.625" style="10" customWidth="1"/>
    <col min="8" max="9" width="30.625" style="10" customWidth="1"/>
    <col min="10" max="10" width="15.625" style="10" customWidth="1"/>
    <col min="11" max="11" width="30.625" style="10" customWidth="1"/>
    <col min="12" max="12" width="15.625" style="10" customWidth="1"/>
    <col min="13" max="16" width="30.625" style="10" customWidth="1"/>
    <col min="17" max="17" width="15.625" style="10" customWidth="1"/>
    <col min="18" max="18" width="50.625" style="10" customWidth="1"/>
    <col min="19" max="16384" width="10.625" style="10"/>
  </cols>
  <sheetData>
    <row r="1" spans="1:18" x14ac:dyDescent="0.35">
      <c r="A1" s="11" t="s">
        <v>3</v>
      </c>
      <c r="B1" s="4" t="s">
        <v>74</v>
      </c>
      <c r="C1" s="5" t="s">
        <v>38</v>
      </c>
      <c r="D1" s="5" t="s">
        <v>38</v>
      </c>
      <c r="E1" s="5" t="s">
        <v>38</v>
      </c>
      <c r="F1" s="5" t="s">
        <v>101</v>
      </c>
      <c r="G1" s="5" t="s">
        <v>40</v>
      </c>
      <c r="H1" s="5" t="s">
        <v>40</v>
      </c>
      <c r="I1" s="5" t="s">
        <v>40</v>
      </c>
      <c r="J1" s="5" t="s">
        <v>38</v>
      </c>
      <c r="K1" s="5" t="s">
        <v>255</v>
      </c>
      <c r="L1" s="5" t="s">
        <v>38</v>
      </c>
      <c r="M1" s="5" t="s">
        <v>256</v>
      </c>
      <c r="N1" s="5" t="s">
        <v>257</v>
      </c>
      <c r="O1" s="5" t="s">
        <v>49</v>
      </c>
      <c r="P1" s="5" t="s">
        <v>49</v>
      </c>
      <c r="Q1" s="5" t="s">
        <v>38</v>
      </c>
      <c r="R1" s="6" t="s">
        <v>74</v>
      </c>
    </row>
    <row r="2" spans="1:18" x14ac:dyDescent="0.35">
      <c r="A2" s="12" t="s">
        <v>6</v>
      </c>
      <c r="B2" s="1" t="s">
        <v>30</v>
      </c>
      <c r="C2" s="2" t="s">
        <v>33</v>
      </c>
      <c r="D2" s="2" t="s">
        <v>258</v>
      </c>
      <c r="E2" s="2" t="s">
        <v>70</v>
      </c>
      <c r="F2" s="2" t="s">
        <v>259</v>
      </c>
      <c r="G2" s="2" t="s">
        <v>76</v>
      </c>
      <c r="H2" s="2" t="s">
        <v>159</v>
      </c>
      <c r="I2" s="2" t="s">
        <v>260</v>
      </c>
      <c r="J2" s="2" t="s">
        <v>261</v>
      </c>
      <c r="K2" s="2" t="s">
        <v>262</v>
      </c>
      <c r="L2" s="2" t="s">
        <v>263</v>
      </c>
      <c r="M2" s="2" t="s">
        <v>264</v>
      </c>
      <c r="N2" s="2" t="s">
        <v>265</v>
      </c>
      <c r="O2" s="2" t="s">
        <v>266</v>
      </c>
      <c r="P2" s="2" t="s">
        <v>267</v>
      </c>
      <c r="Q2" s="2" t="s">
        <v>268</v>
      </c>
      <c r="R2" s="3" t="s">
        <v>74</v>
      </c>
    </row>
    <row r="3" spans="1:18" x14ac:dyDescent="0.35">
      <c r="A3" s="24" t="s">
        <v>9</v>
      </c>
      <c r="B3" s="25" t="s">
        <v>31</v>
      </c>
      <c r="C3" s="26" t="s">
        <v>269</v>
      </c>
      <c r="D3" s="26" t="s">
        <v>270</v>
      </c>
      <c r="E3" s="26" t="s">
        <v>271</v>
      </c>
      <c r="F3" s="26" t="s">
        <v>272</v>
      </c>
      <c r="G3" s="26" t="s">
        <v>273</v>
      </c>
      <c r="H3" s="26" t="s">
        <v>274</v>
      </c>
      <c r="I3" s="26" t="s">
        <v>275</v>
      </c>
      <c r="J3" s="26" t="s">
        <v>276</v>
      </c>
      <c r="K3" s="26" t="s">
        <v>277</v>
      </c>
      <c r="L3" s="26" t="s">
        <v>278</v>
      </c>
      <c r="M3" s="26" t="s">
        <v>279</v>
      </c>
      <c r="N3" s="26" t="s">
        <v>280</v>
      </c>
      <c r="O3" s="26" t="s">
        <v>281</v>
      </c>
      <c r="P3" s="26" t="s">
        <v>282</v>
      </c>
      <c r="Q3" s="26" t="s">
        <v>283</v>
      </c>
      <c r="R3" s="25" t="s">
        <v>80</v>
      </c>
    </row>
    <row r="4" spans="1:18" x14ac:dyDescent="0.35">
      <c r="A4" s="27" t="s">
        <v>104</v>
      </c>
      <c r="B4" s="27"/>
      <c r="C4" s="27" t="s">
        <v>284</v>
      </c>
      <c r="D4" s="27" t="s">
        <v>285</v>
      </c>
      <c r="E4" s="27" t="s">
        <v>2932</v>
      </c>
      <c r="F4" s="27" t="s">
        <v>1653</v>
      </c>
      <c r="G4" s="30" t="s">
        <v>286</v>
      </c>
      <c r="H4" s="30" t="s">
        <v>287</v>
      </c>
      <c r="I4" s="30" t="s">
        <v>288</v>
      </c>
      <c r="J4" s="27" t="s">
        <v>1506</v>
      </c>
      <c r="K4" s="30" t="s">
        <v>1507</v>
      </c>
      <c r="L4" s="27" t="s">
        <v>1508</v>
      </c>
      <c r="M4" s="30" t="s">
        <v>1509</v>
      </c>
      <c r="N4" s="30" t="s">
        <v>1510</v>
      </c>
      <c r="O4" s="30" t="s">
        <v>289</v>
      </c>
      <c r="P4" s="30" t="s">
        <v>1511</v>
      </c>
      <c r="Q4" s="27" t="s">
        <v>290</v>
      </c>
      <c r="R4" s="27" t="s">
        <v>128</v>
      </c>
    </row>
    <row r="5" spans="1:18" x14ac:dyDescent="0.35">
      <c r="A5" s="28"/>
      <c r="B5" s="26">
        <v>100</v>
      </c>
      <c r="C5" s="26">
        <v>10100001</v>
      </c>
      <c r="D5" s="26">
        <v>10200001</v>
      </c>
      <c r="E5" s="26">
        <v>0</v>
      </c>
      <c r="F5" s="26">
        <v>1</v>
      </c>
      <c r="G5" s="31" t="s">
        <v>3634</v>
      </c>
      <c r="H5" s="33" t="s">
        <v>968</v>
      </c>
      <c r="I5" s="33"/>
      <c r="J5" s="26">
        <v>1</v>
      </c>
      <c r="K5" s="33"/>
      <c r="L5" s="26"/>
      <c r="M5" s="33"/>
      <c r="N5" s="33"/>
      <c r="O5" s="33"/>
      <c r="P5" s="33"/>
      <c r="Q5" s="26"/>
      <c r="R5" s="28"/>
    </row>
    <row r="6" spans="1:18" x14ac:dyDescent="0.35">
      <c r="A6" s="28"/>
      <c r="B6" s="26">
        <v>100</v>
      </c>
      <c r="C6" s="26">
        <v>10101001</v>
      </c>
      <c r="D6" s="26">
        <v>10201001</v>
      </c>
      <c r="E6" s="26">
        <v>1</v>
      </c>
      <c r="F6" s="26">
        <v>1</v>
      </c>
      <c r="G6" s="31"/>
      <c r="H6" s="33" t="s">
        <v>969</v>
      </c>
      <c r="I6" s="33"/>
      <c r="J6" s="26">
        <v>10</v>
      </c>
      <c r="K6" s="33" t="s">
        <v>3318</v>
      </c>
      <c r="L6" s="26">
        <v>0</v>
      </c>
      <c r="M6" s="33" t="s">
        <v>1103</v>
      </c>
      <c r="N6" s="33" t="s">
        <v>1483</v>
      </c>
      <c r="O6" s="33"/>
      <c r="P6" s="33" t="s">
        <v>1247</v>
      </c>
      <c r="Q6" s="26">
        <v>2</v>
      </c>
      <c r="R6" s="28"/>
    </row>
    <row r="7" spans="1:18" x14ac:dyDescent="0.35">
      <c r="A7" s="28"/>
      <c r="B7" s="26">
        <v>100</v>
      </c>
      <c r="C7" s="26">
        <v>10101002</v>
      </c>
      <c r="D7" s="26">
        <v>10201002</v>
      </c>
      <c r="E7" s="26">
        <v>1</v>
      </c>
      <c r="F7" s="26">
        <v>0</v>
      </c>
      <c r="G7" s="31"/>
      <c r="H7" s="33" t="s">
        <v>970</v>
      </c>
      <c r="I7" s="33"/>
      <c r="J7" s="26">
        <v>10</v>
      </c>
      <c r="K7" s="33" t="s">
        <v>3318</v>
      </c>
      <c r="L7" s="26">
        <v>0</v>
      </c>
      <c r="M7" s="33" t="s">
        <v>1103</v>
      </c>
      <c r="N7" s="33" t="s">
        <v>1483</v>
      </c>
      <c r="O7" s="33"/>
      <c r="P7" s="33" t="s">
        <v>1247</v>
      </c>
      <c r="Q7" s="26">
        <v>2</v>
      </c>
      <c r="R7" s="28"/>
    </row>
    <row r="8" spans="1:18" x14ac:dyDescent="0.35">
      <c r="A8" s="28"/>
      <c r="B8" s="26">
        <v>100</v>
      </c>
      <c r="C8" s="26">
        <v>10102001</v>
      </c>
      <c r="D8" s="26">
        <v>10202001</v>
      </c>
      <c r="E8" s="26">
        <v>2</v>
      </c>
      <c r="F8" s="26">
        <v>1</v>
      </c>
      <c r="G8" s="31" t="s">
        <v>966</v>
      </c>
      <c r="H8" s="33" t="s">
        <v>971</v>
      </c>
      <c r="I8" s="33" t="s">
        <v>1197</v>
      </c>
      <c r="J8" s="26">
        <v>21</v>
      </c>
      <c r="K8" s="33" t="s">
        <v>1088</v>
      </c>
      <c r="L8" s="26">
        <v>21001</v>
      </c>
      <c r="M8" s="33" t="s">
        <v>1183</v>
      </c>
      <c r="N8" s="33" t="s">
        <v>1484</v>
      </c>
      <c r="O8" s="33" t="s">
        <v>1245</v>
      </c>
      <c r="P8" s="33"/>
      <c r="Q8" s="26"/>
      <c r="R8" s="28"/>
    </row>
    <row r="9" spans="1:18" x14ac:dyDescent="0.35">
      <c r="A9" s="28"/>
      <c r="B9" s="26">
        <v>100</v>
      </c>
      <c r="C9" s="26">
        <v>10102002</v>
      </c>
      <c r="D9" s="26">
        <v>10202002</v>
      </c>
      <c r="E9" s="26">
        <v>2</v>
      </c>
      <c r="F9" s="26">
        <v>0</v>
      </c>
      <c r="G9" s="31" t="s">
        <v>967</v>
      </c>
      <c r="H9" s="33" t="s">
        <v>972</v>
      </c>
      <c r="I9" s="33" t="s">
        <v>1198</v>
      </c>
      <c r="J9" s="26">
        <v>20</v>
      </c>
      <c r="K9" s="33" t="s">
        <v>1089</v>
      </c>
      <c r="L9" s="26">
        <v>0</v>
      </c>
      <c r="M9" s="33" t="s">
        <v>1184</v>
      </c>
      <c r="N9" s="33" t="s">
        <v>1484</v>
      </c>
      <c r="O9" s="33" t="s">
        <v>1246</v>
      </c>
      <c r="P9" s="33"/>
      <c r="Q9" s="26"/>
      <c r="R9" s="28"/>
    </row>
    <row r="10" spans="1:18" x14ac:dyDescent="0.35">
      <c r="A10" s="28"/>
      <c r="B10" s="26">
        <v>100</v>
      </c>
      <c r="C10" s="26">
        <v>10103001</v>
      </c>
      <c r="D10" s="26">
        <v>10203001</v>
      </c>
      <c r="E10" s="26">
        <v>3</v>
      </c>
      <c r="F10" s="26">
        <v>1</v>
      </c>
      <c r="G10" s="31" t="s">
        <v>973</v>
      </c>
      <c r="H10" s="33" t="s">
        <v>974</v>
      </c>
      <c r="I10" s="33"/>
      <c r="J10" s="26">
        <v>30</v>
      </c>
      <c r="K10" s="33"/>
      <c r="L10" s="26"/>
      <c r="M10" s="33"/>
      <c r="N10" s="33"/>
      <c r="O10" s="33"/>
      <c r="P10" s="33"/>
      <c r="Q10" s="26"/>
      <c r="R10" s="28"/>
    </row>
    <row r="11" spans="1:18" x14ac:dyDescent="0.35">
      <c r="A11" s="8"/>
      <c r="B11" s="26">
        <v>100</v>
      </c>
      <c r="C11" s="7">
        <v>10103002</v>
      </c>
      <c r="D11" s="7">
        <v>10203002</v>
      </c>
      <c r="E11" s="7">
        <v>3</v>
      </c>
      <c r="F11" s="26">
        <v>0</v>
      </c>
      <c r="G11" s="32" t="s">
        <v>975</v>
      </c>
      <c r="H11" s="34" t="s">
        <v>976</v>
      </c>
      <c r="I11" s="34"/>
      <c r="J11" s="7">
        <v>31</v>
      </c>
      <c r="K11" s="34"/>
      <c r="L11" s="7"/>
      <c r="M11" s="34"/>
      <c r="N11" s="34"/>
      <c r="O11" s="34"/>
      <c r="P11" s="34"/>
      <c r="Q11" s="7"/>
      <c r="R11" s="8"/>
    </row>
    <row r="12" spans="1:18" x14ac:dyDescent="0.35">
      <c r="A12" s="8"/>
      <c r="B12" s="26">
        <v>100</v>
      </c>
      <c r="C12" s="7"/>
      <c r="D12" s="7"/>
      <c r="E12" s="7"/>
      <c r="F12" s="7"/>
      <c r="G12" s="32"/>
      <c r="H12" s="34"/>
      <c r="I12" s="34"/>
      <c r="J12" s="7"/>
      <c r="K12" s="34"/>
      <c r="L12" s="7"/>
      <c r="M12" s="34"/>
      <c r="N12" s="34"/>
      <c r="O12" s="34"/>
      <c r="P12" s="34"/>
      <c r="Q12" s="7"/>
      <c r="R12" s="8"/>
    </row>
    <row r="13" spans="1:18" x14ac:dyDescent="0.35">
      <c r="A13" s="8"/>
      <c r="B13" s="26">
        <v>100</v>
      </c>
      <c r="C13" s="7"/>
      <c r="D13" s="7"/>
      <c r="E13" s="7"/>
      <c r="F13" s="7"/>
      <c r="G13" s="32"/>
      <c r="H13" s="34"/>
      <c r="I13" s="34"/>
      <c r="J13" s="7"/>
      <c r="K13" s="34"/>
      <c r="L13" s="7"/>
      <c r="M13" s="34"/>
      <c r="N13" s="34"/>
      <c r="O13" s="34"/>
      <c r="P13" s="34"/>
      <c r="Q13" s="7"/>
      <c r="R13" s="8"/>
    </row>
    <row r="14" spans="1:18" x14ac:dyDescent="0.35">
      <c r="A14" s="8"/>
      <c r="B14" s="26">
        <v>100</v>
      </c>
      <c r="C14" s="7"/>
      <c r="D14" s="7"/>
      <c r="E14" s="7"/>
      <c r="F14" s="7"/>
      <c r="G14" s="32"/>
      <c r="H14" s="34"/>
      <c r="I14" s="34"/>
      <c r="J14" s="7"/>
      <c r="K14" s="34"/>
      <c r="L14" s="7"/>
      <c r="M14" s="34"/>
      <c r="N14" s="34"/>
      <c r="O14" s="34"/>
      <c r="P14" s="34"/>
      <c r="Q14" s="7"/>
      <c r="R14" s="8"/>
    </row>
    <row r="15" spans="1:18" x14ac:dyDescent="0.35">
      <c r="A15" s="8"/>
      <c r="B15" s="26">
        <v>100</v>
      </c>
      <c r="C15" s="7"/>
      <c r="D15" s="7"/>
      <c r="E15" s="7"/>
      <c r="F15" s="7"/>
      <c r="G15" s="32"/>
      <c r="H15" s="34"/>
      <c r="I15" s="34"/>
      <c r="J15" s="7"/>
      <c r="K15" s="34"/>
      <c r="L15" s="7"/>
      <c r="M15" s="34"/>
      <c r="N15" s="34"/>
      <c r="O15" s="34"/>
      <c r="P15" s="34"/>
      <c r="Q15" s="7"/>
      <c r="R15" s="8"/>
    </row>
    <row r="16" spans="1:18" x14ac:dyDescent="0.35">
      <c r="A16" s="8"/>
      <c r="B16" s="26">
        <v>100</v>
      </c>
      <c r="C16" s="7"/>
      <c r="D16" s="7"/>
      <c r="E16" s="7"/>
      <c r="F16" s="7"/>
      <c r="G16" s="32"/>
      <c r="H16" s="34"/>
      <c r="I16" s="34"/>
      <c r="J16" s="7"/>
      <c r="K16" s="34"/>
      <c r="L16" s="7"/>
      <c r="M16" s="34"/>
      <c r="N16" s="34"/>
      <c r="O16" s="34"/>
      <c r="P16" s="34"/>
      <c r="Q16" s="7"/>
      <c r="R16" s="8"/>
    </row>
    <row r="17" spans="1:18" x14ac:dyDescent="0.35">
      <c r="A17" s="8"/>
      <c r="B17" s="26">
        <v>100</v>
      </c>
      <c r="C17" s="7"/>
      <c r="D17" s="7"/>
      <c r="E17" s="7"/>
      <c r="F17" s="7"/>
      <c r="G17" s="32"/>
      <c r="H17" s="34"/>
      <c r="I17" s="34"/>
      <c r="J17" s="7"/>
      <c r="K17" s="34"/>
      <c r="L17" s="7"/>
      <c r="M17" s="34"/>
      <c r="N17" s="34"/>
      <c r="O17" s="34"/>
      <c r="P17" s="34"/>
      <c r="Q17" s="7"/>
      <c r="R17" s="8"/>
    </row>
    <row r="18" spans="1:18" x14ac:dyDescent="0.35">
      <c r="A18" s="8"/>
      <c r="B18" s="26">
        <v>100</v>
      </c>
      <c r="C18" s="7"/>
      <c r="D18" s="7"/>
      <c r="E18" s="7"/>
      <c r="F18" s="7"/>
      <c r="G18" s="32"/>
      <c r="H18" s="34"/>
      <c r="I18" s="34"/>
      <c r="J18" s="7"/>
      <c r="K18" s="34"/>
      <c r="L18" s="7"/>
      <c r="M18" s="34"/>
      <c r="N18" s="34"/>
      <c r="O18" s="34"/>
      <c r="P18" s="34"/>
      <c r="Q18" s="7"/>
      <c r="R18" s="8"/>
    </row>
    <row r="19" spans="1:18" x14ac:dyDescent="0.35">
      <c r="A19" s="8"/>
      <c r="B19" s="26">
        <v>100</v>
      </c>
      <c r="C19" s="7"/>
      <c r="D19" s="7"/>
      <c r="E19" s="7"/>
      <c r="F19" s="7"/>
      <c r="G19" s="32"/>
      <c r="H19" s="34"/>
      <c r="I19" s="34"/>
      <c r="J19" s="7"/>
      <c r="K19" s="34"/>
      <c r="L19" s="7"/>
      <c r="M19" s="34"/>
      <c r="N19" s="34"/>
      <c r="O19" s="34"/>
      <c r="P19" s="34"/>
      <c r="Q19" s="7"/>
      <c r="R19" s="8"/>
    </row>
    <row r="20" spans="1:18" x14ac:dyDescent="0.35">
      <c r="A20" s="8"/>
      <c r="B20" s="26">
        <v>100</v>
      </c>
      <c r="C20" s="7"/>
      <c r="D20" s="7"/>
      <c r="E20" s="7"/>
      <c r="F20" s="7"/>
      <c r="G20" s="32"/>
      <c r="H20" s="34"/>
      <c r="I20" s="34"/>
      <c r="J20" s="7"/>
      <c r="K20" s="34"/>
      <c r="L20" s="7"/>
      <c r="M20" s="34"/>
      <c r="N20" s="34"/>
      <c r="O20" s="34"/>
      <c r="P20" s="34"/>
      <c r="Q20" s="7"/>
      <c r="R20" s="8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A648-2306-46BE-80EC-099A3667AFDC}">
  <sheetPr codeName="Sheet12">
    <tabColor rgb="FFC00000"/>
  </sheetPr>
  <dimension ref="A1:G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10" customWidth="1"/>
    <col min="7" max="7" width="50.625" style="10" customWidth="1"/>
    <col min="8" max="16384" width="10.625" style="10"/>
  </cols>
  <sheetData>
    <row r="1" spans="1:7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40</v>
      </c>
      <c r="F1" s="5" t="s">
        <v>43</v>
      </c>
      <c r="G1" s="6" t="s">
        <v>74</v>
      </c>
    </row>
    <row r="2" spans="1:7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291</v>
      </c>
      <c r="F2" s="2" t="s">
        <v>292</v>
      </c>
      <c r="G2" s="3" t="s">
        <v>74</v>
      </c>
    </row>
    <row r="3" spans="1:7" x14ac:dyDescent="0.35">
      <c r="A3" s="24" t="s">
        <v>9</v>
      </c>
      <c r="B3" s="25" t="s">
        <v>31</v>
      </c>
      <c r="C3" s="26" t="s">
        <v>293</v>
      </c>
      <c r="D3" s="26" t="s">
        <v>149</v>
      </c>
      <c r="E3" s="26" t="s">
        <v>294</v>
      </c>
      <c r="F3" s="26" t="s">
        <v>295</v>
      </c>
      <c r="G3" s="25" t="s">
        <v>80</v>
      </c>
    </row>
    <row r="4" spans="1:7" x14ac:dyDescent="0.35">
      <c r="A4" s="27" t="s">
        <v>104</v>
      </c>
      <c r="B4" s="27"/>
      <c r="C4" s="27" t="s">
        <v>296</v>
      </c>
      <c r="D4" s="30" t="s">
        <v>297</v>
      </c>
      <c r="E4" s="30" t="s">
        <v>298</v>
      </c>
      <c r="F4" s="30" t="s">
        <v>299</v>
      </c>
      <c r="G4" s="27" t="s">
        <v>128</v>
      </c>
    </row>
    <row r="5" spans="1:7" x14ac:dyDescent="0.35">
      <c r="A5" s="28"/>
      <c r="B5" s="26">
        <v>100</v>
      </c>
      <c r="C5" s="26">
        <v>10200001</v>
      </c>
      <c r="D5" s="31" t="s">
        <v>3665</v>
      </c>
      <c r="E5" s="31" t="s">
        <v>1097</v>
      </c>
      <c r="F5" s="31"/>
      <c r="G5" s="28" t="s">
        <v>1100</v>
      </c>
    </row>
    <row r="6" spans="1:7" x14ac:dyDescent="0.35">
      <c r="A6" s="28"/>
      <c r="B6" s="26">
        <v>100</v>
      </c>
      <c r="C6" s="26">
        <v>10201001</v>
      </c>
      <c r="D6" s="31" t="s">
        <v>1090</v>
      </c>
      <c r="E6" s="31" t="s">
        <v>1096</v>
      </c>
      <c r="F6" s="31" t="s">
        <v>1099</v>
      </c>
      <c r="G6" s="28" t="s">
        <v>1101</v>
      </c>
    </row>
    <row r="7" spans="1:7" x14ac:dyDescent="0.35">
      <c r="A7" s="28"/>
      <c r="B7" s="26">
        <v>100</v>
      </c>
      <c r="C7" s="26">
        <v>10201002</v>
      </c>
      <c r="D7" s="31" t="s">
        <v>1091</v>
      </c>
      <c r="E7" s="31" t="s">
        <v>1096</v>
      </c>
      <c r="F7" s="31" t="s">
        <v>1099</v>
      </c>
      <c r="G7" s="28" t="s">
        <v>1102</v>
      </c>
    </row>
    <row r="8" spans="1:7" x14ac:dyDescent="0.35">
      <c r="A8" s="28"/>
      <c r="B8" s="26">
        <v>100</v>
      </c>
      <c r="C8" s="26">
        <v>10202001</v>
      </c>
      <c r="D8" s="31" t="s">
        <v>1092</v>
      </c>
      <c r="E8" s="31" t="s">
        <v>1098</v>
      </c>
      <c r="F8" s="31"/>
      <c r="G8" s="28" t="s">
        <v>966</v>
      </c>
    </row>
    <row r="9" spans="1:7" x14ac:dyDescent="0.35">
      <c r="A9" s="28"/>
      <c r="B9" s="26">
        <v>100</v>
      </c>
      <c r="C9" s="26">
        <v>10202002</v>
      </c>
      <c r="D9" s="31" t="s">
        <v>1093</v>
      </c>
      <c r="E9" s="31" t="s">
        <v>1098</v>
      </c>
      <c r="F9" s="31"/>
      <c r="G9" s="28" t="s">
        <v>967</v>
      </c>
    </row>
    <row r="10" spans="1:7" x14ac:dyDescent="0.35">
      <c r="A10" s="28"/>
      <c r="B10" s="26">
        <v>100</v>
      </c>
      <c r="C10" s="26">
        <v>10203001</v>
      </c>
      <c r="D10" s="31" t="s">
        <v>1094</v>
      </c>
      <c r="E10" s="31" t="s">
        <v>1096</v>
      </c>
      <c r="F10" s="31" t="s">
        <v>1099</v>
      </c>
      <c r="G10" s="28" t="s">
        <v>973</v>
      </c>
    </row>
    <row r="11" spans="1:7" x14ac:dyDescent="0.35">
      <c r="A11" s="8"/>
      <c r="B11" s="26">
        <v>100</v>
      </c>
      <c r="C11" s="7">
        <v>10203002</v>
      </c>
      <c r="D11" s="32" t="s">
        <v>1095</v>
      </c>
      <c r="E11" s="32" t="s">
        <v>1096</v>
      </c>
      <c r="F11" s="32" t="s">
        <v>1099</v>
      </c>
      <c r="G11" s="8" t="s">
        <v>975</v>
      </c>
    </row>
    <row r="12" spans="1:7" x14ac:dyDescent="0.35">
      <c r="A12" s="8"/>
      <c r="B12" s="26">
        <v>100</v>
      </c>
      <c r="C12" s="7"/>
      <c r="D12" s="32"/>
      <c r="E12" s="32"/>
      <c r="F12" s="32"/>
      <c r="G12" s="8"/>
    </row>
    <row r="13" spans="1:7" x14ac:dyDescent="0.35">
      <c r="A13" s="8"/>
      <c r="B13" s="26">
        <v>100</v>
      </c>
      <c r="C13" s="7"/>
      <c r="D13" s="32"/>
      <c r="E13" s="32"/>
      <c r="F13" s="32"/>
      <c r="G13" s="8"/>
    </row>
    <row r="14" spans="1:7" x14ac:dyDescent="0.35">
      <c r="A14" s="8"/>
      <c r="B14" s="26">
        <v>100</v>
      </c>
      <c r="C14" s="7"/>
      <c r="D14" s="32"/>
      <c r="E14" s="32"/>
      <c r="F14" s="32"/>
      <c r="G14" s="8"/>
    </row>
    <row r="15" spans="1:7" x14ac:dyDescent="0.35">
      <c r="A15" s="8"/>
      <c r="B15" s="26">
        <v>100</v>
      </c>
      <c r="C15" s="7"/>
      <c r="D15" s="32"/>
      <c r="E15" s="32"/>
      <c r="F15" s="32"/>
      <c r="G15" s="8"/>
    </row>
    <row r="16" spans="1:7" x14ac:dyDescent="0.35">
      <c r="A16" s="8"/>
      <c r="B16" s="26">
        <v>100</v>
      </c>
      <c r="C16" s="7"/>
      <c r="D16" s="32"/>
      <c r="E16" s="32"/>
      <c r="F16" s="32"/>
      <c r="G16" s="8"/>
    </row>
    <row r="17" spans="1:7" x14ac:dyDescent="0.35">
      <c r="A17" s="8"/>
      <c r="B17" s="26">
        <v>100</v>
      </c>
      <c r="C17" s="7"/>
      <c r="D17" s="32"/>
      <c r="E17" s="32"/>
      <c r="F17" s="32"/>
      <c r="G17" s="8"/>
    </row>
    <row r="18" spans="1:7" x14ac:dyDescent="0.35">
      <c r="A18" s="8"/>
      <c r="B18" s="26">
        <v>100</v>
      </c>
      <c r="C18" s="7"/>
      <c r="D18" s="32"/>
      <c r="E18" s="32"/>
      <c r="F18" s="32"/>
      <c r="G18" s="8"/>
    </row>
    <row r="19" spans="1:7" x14ac:dyDescent="0.35">
      <c r="A19" s="8"/>
      <c r="B19" s="26">
        <v>100</v>
      </c>
      <c r="C19" s="7"/>
      <c r="D19" s="32"/>
      <c r="E19" s="32"/>
      <c r="F19" s="32"/>
      <c r="G19" s="8"/>
    </row>
    <row r="20" spans="1:7" x14ac:dyDescent="0.35">
      <c r="A20" s="8"/>
      <c r="B20" s="26">
        <v>100</v>
      </c>
      <c r="C20" s="7"/>
      <c r="D20" s="32"/>
      <c r="E20" s="32"/>
      <c r="F20" s="32"/>
      <c r="G2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572E-FC33-4DA1-B3AF-A2AA62E86958}">
  <sheetPr codeName="Sheet13">
    <tabColor rgb="FFC00000"/>
  </sheetPr>
  <dimension ref="A1:J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8" width="15.625" style="10" customWidth="1"/>
    <col min="9" max="9" width="30.625" style="10" customWidth="1"/>
    <col min="10" max="10" width="50.625" style="10" customWidth="1"/>
    <col min="11" max="16384" width="10.625" style="10"/>
  </cols>
  <sheetData>
    <row r="1" spans="1:10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43</v>
      </c>
      <c r="G1" s="5" t="s">
        <v>38</v>
      </c>
      <c r="H1" s="5" t="s">
        <v>40</v>
      </c>
      <c r="I1" s="5" t="s">
        <v>40</v>
      </c>
      <c r="J1" s="6" t="s">
        <v>74</v>
      </c>
    </row>
    <row r="2" spans="1:10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300</v>
      </c>
      <c r="G2" s="2" t="s">
        <v>1512</v>
      </c>
      <c r="H2" s="2" t="s">
        <v>76</v>
      </c>
      <c r="I2" s="2" t="s">
        <v>159</v>
      </c>
      <c r="J2" s="3" t="s">
        <v>74</v>
      </c>
    </row>
    <row r="3" spans="1:10" x14ac:dyDescent="0.35">
      <c r="A3" s="24" t="s">
        <v>9</v>
      </c>
      <c r="B3" s="25" t="s">
        <v>31</v>
      </c>
      <c r="C3" s="26" t="s">
        <v>301</v>
      </c>
      <c r="D3" s="26" t="s">
        <v>149</v>
      </c>
      <c r="E3" s="26" t="s">
        <v>271</v>
      </c>
      <c r="F3" s="26" t="s">
        <v>302</v>
      </c>
      <c r="G3" s="26" t="s">
        <v>303</v>
      </c>
      <c r="H3" s="26" t="s">
        <v>304</v>
      </c>
      <c r="I3" s="26" t="s">
        <v>305</v>
      </c>
      <c r="J3" s="25" t="s">
        <v>80</v>
      </c>
    </row>
    <row r="4" spans="1:10" x14ac:dyDescent="0.35">
      <c r="A4" s="27" t="s">
        <v>104</v>
      </c>
      <c r="B4" s="27"/>
      <c r="C4" s="27" t="s">
        <v>306</v>
      </c>
      <c r="D4" s="27" t="s">
        <v>307</v>
      </c>
      <c r="E4" s="27" t="s">
        <v>308</v>
      </c>
      <c r="F4" s="27" t="s">
        <v>309</v>
      </c>
      <c r="G4" s="27" t="s">
        <v>310</v>
      </c>
      <c r="H4" s="27" t="s">
        <v>311</v>
      </c>
      <c r="I4" s="27" t="s">
        <v>312</v>
      </c>
      <c r="J4" s="27" t="s">
        <v>128</v>
      </c>
    </row>
    <row r="5" spans="1:10" x14ac:dyDescent="0.35">
      <c r="A5" s="28"/>
      <c r="B5" s="26">
        <v>100</v>
      </c>
      <c r="C5" s="26">
        <v>10300001</v>
      </c>
      <c r="D5" s="26" t="s">
        <v>991</v>
      </c>
      <c r="E5" s="26">
        <v>0</v>
      </c>
      <c r="F5" s="26" t="b">
        <v>1</v>
      </c>
      <c r="G5" s="26">
        <v>0</v>
      </c>
      <c r="H5" s="26" t="s">
        <v>977</v>
      </c>
      <c r="I5" s="29" t="s">
        <v>984</v>
      </c>
      <c r="J5" s="28"/>
    </row>
    <row r="6" spans="1:10" x14ac:dyDescent="0.35">
      <c r="A6" s="28"/>
      <c r="B6" s="26">
        <v>100</v>
      </c>
      <c r="C6" s="26">
        <v>10300002</v>
      </c>
      <c r="D6" s="26" t="s">
        <v>991</v>
      </c>
      <c r="E6" s="26">
        <v>0</v>
      </c>
      <c r="F6" s="26" t="b">
        <v>0</v>
      </c>
      <c r="G6" s="26">
        <v>1</v>
      </c>
      <c r="H6" s="26" t="s">
        <v>983</v>
      </c>
      <c r="I6" s="29" t="s">
        <v>985</v>
      </c>
      <c r="J6" s="28"/>
    </row>
    <row r="7" spans="1:10" x14ac:dyDescent="0.35">
      <c r="A7" s="28"/>
      <c r="B7" s="26">
        <v>100</v>
      </c>
      <c r="C7" s="26">
        <v>10301001</v>
      </c>
      <c r="D7" s="26" t="s">
        <v>992</v>
      </c>
      <c r="E7" s="26">
        <v>1</v>
      </c>
      <c r="F7" s="26" t="b">
        <v>1</v>
      </c>
      <c r="G7" s="26">
        <v>10</v>
      </c>
      <c r="H7" s="26" t="s">
        <v>978</v>
      </c>
      <c r="I7" s="29" t="s">
        <v>986</v>
      </c>
      <c r="J7" s="28"/>
    </row>
    <row r="8" spans="1:10" x14ac:dyDescent="0.35">
      <c r="A8" s="28"/>
      <c r="B8" s="26">
        <v>100</v>
      </c>
      <c r="C8" s="26">
        <v>10301002</v>
      </c>
      <c r="D8" s="26" t="s">
        <v>993</v>
      </c>
      <c r="E8" s="26">
        <v>1</v>
      </c>
      <c r="F8" s="26" t="b">
        <v>0</v>
      </c>
      <c r="G8" s="26">
        <v>11</v>
      </c>
      <c r="H8" s="26" t="s">
        <v>979</v>
      </c>
      <c r="I8" s="29" t="s">
        <v>987</v>
      </c>
      <c r="J8" s="28"/>
    </row>
    <row r="9" spans="1:10" x14ac:dyDescent="0.35">
      <c r="A9" s="28"/>
      <c r="B9" s="26">
        <v>100</v>
      </c>
      <c r="C9" s="26">
        <v>10302001</v>
      </c>
      <c r="D9" s="26" t="s">
        <v>994</v>
      </c>
      <c r="E9" s="26">
        <v>2</v>
      </c>
      <c r="F9" s="26" t="b">
        <v>1</v>
      </c>
      <c r="G9" s="26">
        <v>20</v>
      </c>
      <c r="H9" s="26" t="s">
        <v>980</v>
      </c>
      <c r="I9" s="29" t="s">
        <v>989</v>
      </c>
      <c r="J9" s="28"/>
    </row>
    <row r="10" spans="1:10" x14ac:dyDescent="0.35">
      <c r="A10" s="28"/>
      <c r="B10" s="26">
        <v>100</v>
      </c>
      <c r="C10" s="26">
        <v>10302002</v>
      </c>
      <c r="D10" s="26" t="s">
        <v>995</v>
      </c>
      <c r="E10" s="26">
        <v>2</v>
      </c>
      <c r="F10" s="26" t="b">
        <v>0</v>
      </c>
      <c r="G10" s="26">
        <v>21</v>
      </c>
      <c r="H10" s="26" t="s">
        <v>981</v>
      </c>
      <c r="I10" s="29" t="s">
        <v>988</v>
      </c>
      <c r="J10" s="28"/>
    </row>
    <row r="11" spans="1:10" x14ac:dyDescent="0.35">
      <c r="A11" s="8"/>
      <c r="B11" s="26">
        <v>100</v>
      </c>
      <c r="C11" s="7">
        <v>10303001</v>
      </c>
      <c r="D11" s="7" t="s">
        <v>2749</v>
      </c>
      <c r="E11" s="7">
        <v>3</v>
      </c>
      <c r="F11" s="26" t="b">
        <v>1</v>
      </c>
      <c r="G11" s="7">
        <v>30</v>
      </c>
      <c r="H11" s="7" t="s">
        <v>982</v>
      </c>
      <c r="I11" s="9" t="s">
        <v>990</v>
      </c>
      <c r="J11" s="8"/>
    </row>
    <row r="12" spans="1:10" x14ac:dyDescent="0.35">
      <c r="A12" s="8"/>
      <c r="B12" s="26">
        <v>100</v>
      </c>
      <c r="C12" s="7"/>
      <c r="D12" s="7"/>
      <c r="E12" s="7"/>
      <c r="F12" s="26"/>
      <c r="G12" s="7"/>
      <c r="H12" s="7"/>
      <c r="I12" s="9"/>
      <c r="J12" s="8"/>
    </row>
    <row r="13" spans="1:10" x14ac:dyDescent="0.35">
      <c r="A13" s="8"/>
      <c r="B13" s="26">
        <v>100</v>
      </c>
      <c r="C13" s="7"/>
      <c r="D13" s="7"/>
      <c r="E13" s="7"/>
      <c r="F13" s="7"/>
      <c r="G13" s="7"/>
      <c r="H13" s="7"/>
      <c r="I13" s="9"/>
      <c r="J13" s="8"/>
    </row>
    <row r="14" spans="1:10" x14ac:dyDescent="0.35">
      <c r="A14" s="8"/>
      <c r="B14" s="26">
        <v>100</v>
      </c>
      <c r="C14" s="7"/>
      <c r="D14" s="7"/>
      <c r="E14" s="7"/>
      <c r="F14" s="7"/>
      <c r="G14" s="7"/>
      <c r="H14" s="7"/>
      <c r="I14" s="9"/>
      <c r="J14" s="8"/>
    </row>
    <row r="15" spans="1:10" x14ac:dyDescent="0.35">
      <c r="A15" s="8"/>
      <c r="B15" s="26">
        <v>100</v>
      </c>
      <c r="C15" s="7"/>
      <c r="D15" s="7"/>
      <c r="E15" s="7"/>
      <c r="F15" s="7"/>
      <c r="G15" s="7"/>
      <c r="H15" s="7"/>
      <c r="I15" s="9"/>
      <c r="J15" s="8"/>
    </row>
    <row r="16" spans="1:10" x14ac:dyDescent="0.35">
      <c r="A16" s="8"/>
      <c r="B16" s="26">
        <v>100</v>
      </c>
      <c r="C16" s="7"/>
      <c r="D16" s="7"/>
      <c r="E16" s="7"/>
      <c r="F16" s="7"/>
      <c r="G16" s="7"/>
      <c r="H16" s="7"/>
      <c r="I16" s="9"/>
      <c r="J16" s="8"/>
    </row>
    <row r="17" spans="1:10" x14ac:dyDescent="0.35">
      <c r="A17" s="8"/>
      <c r="B17" s="26">
        <v>100</v>
      </c>
      <c r="C17" s="7"/>
      <c r="D17" s="7"/>
      <c r="E17" s="7"/>
      <c r="F17" s="7"/>
      <c r="G17" s="7"/>
      <c r="H17" s="7"/>
      <c r="I17" s="9"/>
      <c r="J17" s="8"/>
    </row>
    <row r="18" spans="1:10" x14ac:dyDescent="0.35">
      <c r="A18" s="8"/>
      <c r="B18" s="26">
        <v>100</v>
      </c>
      <c r="C18" s="7"/>
      <c r="D18" s="7"/>
      <c r="E18" s="7"/>
      <c r="F18" s="7"/>
      <c r="G18" s="7"/>
      <c r="H18" s="7"/>
      <c r="I18" s="9"/>
      <c r="J18" s="8"/>
    </row>
    <row r="19" spans="1:10" x14ac:dyDescent="0.35">
      <c r="A19" s="8"/>
      <c r="B19" s="26">
        <v>100</v>
      </c>
      <c r="C19" s="7"/>
      <c r="D19" s="7"/>
      <c r="E19" s="7"/>
      <c r="F19" s="7"/>
      <c r="G19" s="7"/>
      <c r="H19" s="7"/>
      <c r="I19" s="9"/>
      <c r="J19" s="8"/>
    </row>
    <row r="20" spans="1:10" x14ac:dyDescent="0.35">
      <c r="A20" s="8"/>
      <c r="B20" s="26">
        <v>100</v>
      </c>
      <c r="C20" s="7"/>
      <c r="D20" s="7"/>
      <c r="E20" s="7"/>
      <c r="F20" s="7"/>
      <c r="G20" s="7"/>
      <c r="H20" s="7"/>
      <c r="I20" s="9"/>
      <c r="J2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D891F-BF52-4794-A31C-AD19788F5AD9}">
  <sheetPr codeName="Sheet14">
    <tabColor rgb="FFC00000"/>
  </sheetPr>
  <dimension ref="A1:J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8" width="15.625" style="10" customWidth="1"/>
    <col min="9" max="9" width="30.625" style="10" customWidth="1"/>
    <col min="10" max="10" width="50.625" style="10" customWidth="1"/>
    <col min="11" max="16384" width="10.625" style="10"/>
  </cols>
  <sheetData>
    <row r="1" spans="1:10" x14ac:dyDescent="0.35">
      <c r="A1" s="35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38</v>
      </c>
      <c r="G1" s="5" t="s">
        <v>38</v>
      </c>
      <c r="H1" s="5" t="s">
        <v>40</v>
      </c>
      <c r="I1" s="5" t="s">
        <v>40</v>
      </c>
      <c r="J1" s="6" t="s">
        <v>74</v>
      </c>
    </row>
    <row r="2" spans="1:10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1513</v>
      </c>
      <c r="F2" s="2" t="s">
        <v>313</v>
      </c>
      <c r="G2" s="2" t="s">
        <v>314</v>
      </c>
      <c r="H2" s="2" t="s">
        <v>76</v>
      </c>
      <c r="I2" s="2" t="s">
        <v>159</v>
      </c>
      <c r="J2" s="3" t="s">
        <v>74</v>
      </c>
    </row>
    <row r="3" spans="1:10" x14ac:dyDescent="0.35">
      <c r="A3" s="24" t="s">
        <v>9</v>
      </c>
      <c r="B3" s="25" t="s">
        <v>31</v>
      </c>
      <c r="C3" s="26" t="s">
        <v>315</v>
      </c>
      <c r="D3" s="26" t="s">
        <v>149</v>
      </c>
      <c r="E3" s="26" t="s">
        <v>316</v>
      </c>
      <c r="F3" s="26" t="s">
        <v>317</v>
      </c>
      <c r="G3" s="26" t="s">
        <v>318</v>
      </c>
      <c r="H3" s="26" t="s">
        <v>319</v>
      </c>
      <c r="I3" s="26" t="s">
        <v>320</v>
      </c>
      <c r="J3" s="25" t="s">
        <v>80</v>
      </c>
    </row>
    <row r="4" spans="1:10" x14ac:dyDescent="0.35">
      <c r="A4" s="27" t="s">
        <v>104</v>
      </c>
      <c r="B4" s="27"/>
      <c r="C4" s="27" t="s">
        <v>1514</v>
      </c>
      <c r="D4" s="27" t="s">
        <v>321</v>
      </c>
      <c r="E4" s="27" t="s">
        <v>322</v>
      </c>
      <c r="F4" s="27" t="s">
        <v>323</v>
      </c>
      <c r="G4" s="27" t="s">
        <v>324</v>
      </c>
      <c r="H4" s="27" t="s">
        <v>325</v>
      </c>
      <c r="I4" s="27" t="s">
        <v>326</v>
      </c>
      <c r="J4" s="27" t="s">
        <v>128</v>
      </c>
    </row>
    <row r="5" spans="1:10" x14ac:dyDescent="0.35">
      <c r="A5" s="28"/>
      <c r="B5" s="26">
        <v>100</v>
      </c>
      <c r="C5" s="26">
        <v>10401001</v>
      </c>
      <c r="D5" s="26" t="s">
        <v>999</v>
      </c>
      <c r="E5" s="26">
        <v>11</v>
      </c>
      <c r="F5" s="26">
        <v>11</v>
      </c>
      <c r="G5" s="26">
        <v>20100011</v>
      </c>
      <c r="H5" s="26" t="s">
        <v>996</v>
      </c>
      <c r="I5" s="29" t="s">
        <v>1011</v>
      </c>
      <c r="J5" s="28"/>
    </row>
    <row r="6" spans="1:10" x14ac:dyDescent="0.35">
      <c r="A6" s="28"/>
      <c r="B6" s="26">
        <v>100</v>
      </c>
      <c r="C6" s="26">
        <v>10401002</v>
      </c>
      <c r="D6" s="26" t="s">
        <v>1000</v>
      </c>
      <c r="E6" s="26">
        <v>12</v>
      </c>
      <c r="F6" s="26">
        <v>12</v>
      </c>
      <c r="G6" s="26">
        <v>20100012</v>
      </c>
      <c r="H6" s="26" t="s">
        <v>997</v>
      </c>
      <c r="I6" s="29" t="s">
        <v>1012</v>
      </c>
      <c r="J6" s="28"/>
    </row>
    <row r="7" spans="1:10" x14ac:dyDescent="0.35">
      <c r="A7" s="28"/>
      <c r="B7" s="26">
        <v>100</v>
      </c>
      <c r="C7" s="26">
        <v>10401003</v>
      </c>
      <c r="D7" s="26" t="s">
        <v>1001</v>
      </c>
      <c r="E7" s="26">
        <v>13</v>
      </c>
      <c r="F7" s="26">
        <v>13</v>
      </c>
      <c r="G7" s="26">
        <v>20100013</v>
      </c>
      <c r="H7" s="26" t="s">
        <v>998</v>
      </c>
      <c r="I7" s="29" t="s">
        <v>1013</v>
      </c>
      <c r="J7" s="28"/>
    </row>
    <row r="8" spans="1:10" x14ac:dyDescent="0.35">
      <c r="A8" s="38"/>
      <c r="B8" s="26">
        <v>100</v>
      </c>
      <c r="C8" s="26">
        <v>10401004</v>
      </c>
      <c r="D8" s="39" t="s">
        <v>1369</v>
      </c>
      <c r="E8" s="39">
        <v>14</v>
      </c>
      <c r="F8" s="39">
        <v>14</v>
      </c>
      <c r="G8" s="39">
        <v>20100014</v>
      </c>
      <c r="H8" s="39" t="s">
        <v>1368</v>
      </c>
      <c r="I8" s="40" t="s">
        <v>2137</v>
      </c>
      <c r="J8" s="38"/>
    </row>
    <row r="9" spans="1:10" x14ac:dyDescent="0.35">
      <c r="A9" s="28"/>
      <c r="B9" s="26">
        <v>100</v>
      </c>
      <c r="C9" s="26">
        <v>10401005</v>
      </c>
      <c r="D9" s="26" t="s">
        <v>1002</v>
      </c>
      <c r="E9" s="26">
        <v>15</v>
      </c>
      <c r="F9" s="26">
        <v>15</v>
      </c>
      <c r="G9" s="26">
        <v>20100015</v>
      </c>
      <c r="H9" s="26" t="s">
        <v>1153</v>
      </c>
      <c r="I9" s="29" t="s">
        <v>1014</v>
      </c>
      <c r="J9" s="28"/>
    </row>
    <row r="10" spans="1:10" x14ac:dyDescent="0.35">
      <c r="A10" s="38"/>
      <c r="B10" s="26">
        <v>100</v>
      </c>
      <c r="C10" s="26">
        <v>10401006</v>
      </c>
      <c r="D10" s="39" t="s">
        <v>1060</v>
      </c>
      <c r="E10" s="39">
        <v>16</v>
      </c>
      <c r="F10" s="39">
        <v>16</v>
      </c>
      <c r="G10" s="39">
        <v>20100016</v>
      </c>
      <c r="H10" s="39" t="s">
        <v>1061</v>
      </c>
      <c r="I10" s="40" t="s">
        <v>1062</v>
      </c>
      <c r="J10" s="38"/>
    </row>
    <row r="11" spans="1:10" x14ac:dyDescent="0.35">
      <c r="A11" s="28"/>
      <c r="B11" s="26">
        <v>100</v>
      </c>
      <c r="C11" s="26">
        <v>10402001</v>
      </c>
      <c r="D11" s="26" t="s">
        <v>1007</v>
      </c>
      <c r="E11" s="26">
        <v>21</v>
      </c>
      <c r="F11" s="26">
        <v>21</v>
      </c>
      <c r="G11" s="26">
        <v>20100021</v>
      </c>
      <c r="H11" s="26" t="s">
        <v>1003</v>
      </c>
      <c r="I11" s="29" t="s">
        <v>1015</v>
      </c>
      <c r="J11" s="28"/>
    </row>
    <row r="12" spans="1:10" x14ac:dyDescent="0.35">
      <c r="A12" s="28"/>
      <c r="B12" s="26">
        <v>100</v>
      </c>
      <c r="C12" s="26">
        <v>10402002</v>
      </c>
      <c r="D12" s="26" t="s">
        <v>1008</v>
      </c>
      <c r="E12" s="26">
        <v>22</v>
      </c>
      <c r="F12" s="26">
        <v>22</v>
      </c>
      <c r="G12" s="26">
        <v>20100022</v>
      </c>
      <c r="H12" s="26" t="s">
        <v>1004</v>
      </c>
      <c r="I12" s="29" t="s">
        <v>1016</v>
      </c>
      <c r="J12" s="28"/>
    </row>
    <row r="13" spans="1:10" x14ac:dyDescent="0.35">
      <c r="A13" s="8"/>
      <c r="B13" s="26">
        <v>100</v>
      </c>
      <c r="C13" s="26">
        <v>10402003</v>
      </c>
      <c r="D13" s="7" t="s">
        <v>1009</v>
      </c>
      <c r="E13" s="7">
        <v>23</v>
      </c>
      <c r="F13" s="7">
        <v>23</v>
      </c>
      <c r="G13" s="7">
        <v>20100023</v>
      </c>
      <c r="H13" s="7" t="s">
        <v>1005</v>
      </c>
      <c r="I13" s="9" t="s">
        <v>1017</v>
      </c>
      <c r="J13" s="8"/>
    </row>
    <row r="14" spans="1:10" x14ac:dyDescent="0.35">
      <c r="A14" s="8"/>
      <c r="B14" s="26">
        <v>100</v>
      </c>
      <c r="C14" s="26">
        <v>10402004</v>
      </c>
      <c r="D14" s="7" t="s">
        <v>1010</v>
      </c>
      <c r="E14" s="7">
        <v>24</v>
      </c>
      <c r="F14" s="7">
        <v>24</v>
      </c>
      <c r="G14" s="7">
        <v>20100024</v>
      </c>
      <c r="H14" s="7" t="s">
        <v>1006</v>
      </c>
      <c r="I14" s="9" t="s">
        <v>1018</v>
      </c>
      <c r="J14" s="8"/>
    </row>
    <row r="15" spans="1:10" x14ac:dyDescent="0.35">
      <c r="A15" s="8"/>
      <c r="B15" s="26">
        <v>100</v>
      </c>
      <c r="C15" s="7"/>
      <c r="D15" s="7"/>
      <c r="E15" s="7"/>
      <c r="F15" s="7"/>
      <c r="G15" s="7"/>
      <c r="H15" s="7"/>
      <c r="I15" s="9"/>
      <c r="J15" s="8"/>
    </row>
    <row r="16" spans="1:10" x14ac:dyDescent="0.35">
      <c r="A16" s="8"/>
      <c r="B16" s="26">
        <v>100</v>
      </c>
      <c r="C16" s="7"/>
      <c r="D16" s="7"/>
      <c r="E16" s="7"/>
      <c r="F16" s="7"/>
      <c r="G16" s="7"/>
      <c r="H16" s="7"/>
      <c r="I16" s="9"/>
      <c r="J16" s="8"/>
    </row>
    <row r="17" spans="1:10" x14ac:dyDescent="0.35">
      <c r="A17" s="8"/>
      <c r="B17" s="26">
        <v>100</v>
      </c>
      <c r="C17" s="7"/>
      <c r="D17" s="7"/>
      <c r="E17" s="7"/>
      <c r="F17" s="7"/>
      <c r="G17" s="7"/>
      <c r="H17" s="7"/>
      <c r="I17" s="9"/>
      <c r="J17" s="8"/>
    </row>
    <row r="18" spans="1:10" x14ac:dyDescent="0.35">
      <c r="A18" s="8"/>
      <c r="B18" s="26">
        <v>100</v>
      </c>
      <c r="C18" s="7"/>
      <c r="D18" s="7"/>
      <c r="E18" s="7"/>
      <c r="F18" s="7"/>
      <c r="G18" s="7"/>
      <c r="H18" s="7"/>
      <c r="I18" s="9"/>
      <c r="J18" s="8"/>
    </row>
    <row r="19" spans="1:10" x14ac:dyDescent="0.35">
      <c r="A19" s="8"/>
      <c r="B19" s="26">
        <v>100</v>
      </c>
      <c r="C19" s="7"/>
      <c r="D19" s="7"/>
      <c r="E19" s="7"/>
      <c r="F19" s="7"/>
      <c r="G19" s="7"/>
      <c r="H19" s="7"/>
      <c r="I19" s="9"/>
      <c r="J19" s="8"/>
    </row>
    <row r="20" spans="1:10" x14ac:dyDescent="0.35">
      <c r="A20" s="8"/>
      <c r="B20" s="26">
        <v>100</v>
      </c>
      <c r="C20" s="7"/>
      <c r="D20" s="7"/>
      <c r="E20" s="7"/>
      <c r="F20" s="7"/>
      <c r="G20" s="7"/>
      <c r="H20" s="7"/>
      <c r="I20" s="9"/>
      <c r="J2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7387B-2CF8-4D5B-B585-FA193D452C36}">
  <sheetPr codeName="Sheet15">
    <tabColor rgb="FFC00000"/>
  </sheetPr>
  <dimension ref="A1:O5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8" width="15.625" style="10" customWidth="1"/>
    <col min="9" max="9" width="30.625" style="10" customWidth="1"/>
    <col min="10" max="13" width="25.625" style="10" customWidth="1"/>
    <col min="14" max="14" width="15.625" style="10" customWidth="1"/>
    <col min="15" max="15" width="50.625" style="10" customWidth="1"/>
    <col min="16" max="16384" width="10.625" style="10"/>
  </cols>
  <sheetData>
    <row r="1" spans="1:15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38</v>
      </c>
      <c r="G1" s="5" t="s">
        <v>38</v>
      </c>
      <c r="H1" s="5" t="s">
        <v>40</v>
      </c>
      <c r="I1" s="5" t="s">
        <v>40</v>
      </c>
      <c r="J1" s="5" t="s">
        <v>339</v>
      </c>
      <c r="K1" s="5" t="s">
        <v>343</v>
      </c>
      <c r="L1" s="5" t="s">
        <v>1893</v>
      </c>
      <c r="M1" s="5" t="s">
        <v>1496</v>
      </c>
      <c r="N1" s="5" t="s">
        <v>98</v>
      </c>
      <c r="O1" s="6" t="s">
        <v>74</v>
      </c>
    </row>
    <row r="2" spans="1:15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329</v>
      </c>
      <c r="F2" s="2" t="s">
        <v>331</v>
      </c>
      <c r="G2" s="2" t="s">
        <v>1515</v>
      </c>
      <c r="H2" s="2" t="s">
        <v>76</v>
      </c>
      <c r="I2" s="2" t="s">
        <v>159</v>
      </c>
      <c r="J2" s="2" t="s">
        <v>340</v>
      </c>
      <c r="K2" s="2" t="s">
        <v>344</v>
      </c>
      <c r="L2" s="2" t="s">
        <v>1894</v>
      </c>
      <c r="M2" s="2" t="s">
        <v>2291</v>
      </c>
      <c r="N2" s="2" t="s">
        <v>347</v>
      </c>
      <c r="O2" s="3" t="s">
        <v>74</v>
      </c>
    </row>
    <row r="3" spans="1:15" x14ac:dyDescent="0.35">
      <c r="A3" s="24" t="s">
        <v>9</v>
      </c>
      <c r="B3" s="25" t="s">
        <v>31</v>
      </c>
      <c r="C3" s="26" t="s">
        <v>327</v>
      </c>
      <c r="D3" s="26" t="s">
        <v>149</v>
      </c>
      <c r="E3" s="26" t="s">
        <v>330</v>
      </c>
      <c r="F3" s="26" t="s">
        <v>332</v>
      </c>
      <c r="G3" s="26" t="s">
        <v>333</v>
      </c>
      <c r="H3" s="26" t="s">
        <v>335</v>
      </c>
      <c r="I3" s="26" t="s">
        <v>337</v>
      </c>
      <c r="J3" s="26" t="s">
        <v>341</v>
      </c>
      <c r="K3" s="26" t="s">
        <v>345</v>
      </c>
      <c r="L3" s="26" t="s">
        <v>1895</v>
      </c>
      <c r="M3" s="26" t="s">
        <v>2292</v>
      </c>
      <c r="N3" s="26" t="s">
        <v>348</v>
      </c>
      <c r="O3" s="25" t="s">
        <v>80</v>
      </c>
    </row>
    <row r="4" spans="1:15" x14ac:dyDescent="0.35">
      <c r="A4" s="27" t="s">
        <v>104</v>
      </c>
      <c r="B4" s="27"/>
      <c r="C4" s="27" t="s">
        <v>1516</v>
      </c>
      <c r="D4" s="27" t="s">
        <v>328</v>
      </c>
      <c r="E4" s="27" t="s">
        <v>1649</v>
      </c>
      <c r="F4" s="27" t="s">
        <v>1517</v>
      </c>
      <c r="G4" s="27" t="s">
        <v>334</v>
      </c>
      <c r="H4" s="27" t="s">
        <v>336</v>
      </c>
      <c r="I4" s="30" t="s">
        <v>338</v>
      </c>
      <c r="J4" s="30" t="s">
        <v>342</v>
      </c>
      <c r="K4" s="30" t="s">
        <v>346</v>
      </c>
      <c r="L4" s="30" t="s">
        <v>1896</v>
      </c>
      <c r="M4" s="30" t="s">
        <v>2293</v>
      </c>
      <c r="N4" s="27" t="s">
        <v>1897</v>
      </c>
      <c r="O4" s="27" t="s">
        <v>128</v>
      </c>
    </row>
    <row r="5" spans="1:15" x14ac:dyDescent="0.35">
      <c r="A5" s="28"/>
      <c r="B5" s="26">
        <v>100</v>
      </c>
      <c r="C5" s="26">
        <v>10500000</v>
      </c>
      <c r="D5" s="26" t="s">
        <v>1067</v>
      </c>
      <c r="E5" s="26">
        <v>99</v>
      </c>
      <c r="F5" s="26">
        <v>0</v>
      </c>
      <c r="G5" s="26">
        <v>0</v>
      </c>
      <c r="H5" s="26" t="s">
        <v>1028</v>
      </c>
      <c r="I5" s="33" t="s">
        <v>1038</v>
      </c>
      <c r="J5" s="33"/>
      <c r="K5" s="33"/>
      <c r="L5" s="33" t="s">
        <v>2753</v>
      </c>
      <c r="M5" s="33"/>
      <c r="N5" s="26" t="s">
        <v>1067</v>
      </c>
      <c r="O5" s="28"/>
    </row>
    <row r="6" spans="1:15" x14ac:dyDescent="0.35">
      <c r="A6" s="38"/>
      <c r="B6" s="26">
        <v>100</v>
      </c>
      <c r="C6" s="39">
        <v>10500101</v>
      </c>
      <c r="D6" s="39" t="s">
        <v>1193</v>
      </c>
      <c r="E6" s="39">
        <v>10</v>
      </c>
      <c r="F6" s="39">
        <v>0</v>
      </c>
      <c r="G6" s="39">
        <v>101</v>
      </c>
      <c r="H6" s="39" t="s">
        <v>1185</v>
      </c>
      <c r="I6" s="41" t="s">
        <v>1189</v>
      </c>
      <c r="J6" s="41"/>
      <c r="K6" s="41" t="s">
        <v>1365</v>
      </c>
      <c r="L6" s="41"/>
      <c r="M6" s="41"/>
      <c r="N6" s="39" t="s">
        <v>1193</v>
      </c>
      <c r="O6" s="38"/>
    </row>
    <row r="7" spans="1:15" x14ac:dyDescent="0.35">
      <c r="A7" s="38"/>
      <c r="B7" s="26">
        <v>100</v>
      </c>
      <c r="C7" s="39">
        <v>10500102</v>
      </c>
      <c r="D7" s="39" t="s">
        <v>1194</v>
      </c>
      <c r="E7" s="39">
        <v>10</v>
      </c>
      <c r="F7" s="39">
        <v>0</v>
      </c>
      <c r="G7" s="39">
        <v>101</v>
      </c>
      <c r="H7" s="39" t="s">
        <v>1186</v>
      </c>
      <c r="I7" s="41" t="s">
        <v>1190</v>
      </c>
      <c r="J7" s="41"/>
      <c r="K7" s="41" t="s">
        <v>2673</v>
      </c>
      <c r="L7" s="41"/>
      <c r="M7" s="41"/>
      <c r="N7" s="39" t="s">
        <v>1194</v>
      </c>
      <c r="O7" s="38"/>
    </row>
    <row r="8" spans="1:15" x14ac:dyDescent="0.35">
      <c r="A8" s="38"/>
      <c r="B8" s="26">
        <v>100</v>
      </c>
      <c r="C8" s="39">
        <v>10500201</v>
      </c>
      <c r="D8" s="39" t="s">
        <v>1195</v>
      </c>
      <c r="E8" s="39">
        <v>20</v>
      </c>
      <c r="F8" s="39">
        <v>0</v>
      </c>
      <c r="G8" s="39">
        <v>201</v>
      </c>
      <c r="H8" s="39" t="s">
        <v>1187</v>
      </c>
      <c r="I8" s="41" t="s">
        <v>1191</v>
      </c>
      <c r="J8" s="41"/>
      <c r="K8" s="41" t="s">
        <v>1365</v>
      </c>
      <c r="L8" s="41"/>
      <c r="M8" s="41"/>
      <c r="N8" s="39" t="s">
        <v>1195</v>
      </c>
      <c r="O8" s="38"/>
    </row>
    <row r="9" spans="1:15" x14ac:dyDescent="0.35">
      <c r="A9" s="38"/>
      <c r="B9" s="26">
        <v>100</v>
      </c>
      <c r="C9" s="39">
        <v>10500202</v>
      </c>
      <c r="D9" s="39" t="s">
        <v>1196</v>
      </c>
      <c r="E9" s="39">
        <v>20</v>
      </c>
      <c r="F9" s="39">
        <v>0</v>
      </c>
      <c r="G9" s="39">
        <v>202</v>
      </c>
      <c r="H9" s="39" t="s">
        <v>1188</v>
      </c>
      <c r="I9" s="41" t="s">
        <v>1192</v>
      </c>
      <c r="J9" s="41"/>
      <c r="K9" s="41" t="s">
        <v>1365</v>
      </c>
      <c r="L9" s="41"/>
      <c r="M9" s="41"/>
      <c r="N9" s="39" t="s">
        <v>1196</v>
      </c>
      <c r="O9" s="38"/>
    </row>
    <row r="10" spans="1:15" x14ac:dyDescent="0.35">
      <c r="A10" s="28" t="s">
        <v>104</v>
      </c>
      <c r="B10" s="26">
        <v>100</v>
      </c>
      <c r="C10" s="26">
        <v>10500001</v>
      </c>
      <c r="D10" s="26"/>
      <c r="E10" s="26">
        <v>11</v>
      </c>
      <c r="F10" s="26">
        <v>0</v>
      </c>
      <c r="G10" s="39">
        <v>1</v>
      </c>
      <c r="H10" s="26" t="s">
        <v>3503</v>
      </c>
      <c r="I10" s="33"/>
      <c r="J10" s="33"/>
      <c r="K10" s="33"/>
      <c r="L10" s="33"/>
      <c r="M10" s="33"/>
      <c r="N10" s="26"/>
      <c r="O10" s="28"/>
    </row>
    <row r="11" spans="1:15" x14ac:dyDescent="0.35">
      <c r="A11" s="38"/>
      <c r="B11" s="26">
        <v>100</v>
      </c>
      <c r="C11" s="26">
        <v>10500002</v>
      </c>
      <c r="D11" s="26" t="s">
        <v>3322</v>
      </c>
      <c r="E11" s="26">
        <v>11</v>
      </c>
      <c r="F11" s="26">
        <v>0</v>
      </c>
      <c r="G11" s="39">
        <v>2</v>
      </c>
      <c r="H11" s="26" t="s">
        <v>1029</v>
      </c>
      <c r="I11" s="33" t="s">
        <v>3320</v>
      </c>
      <c r="J11" s="41"/>
      <c r="K11" s="33" t="s">
        <v>2674</v>
      </c>
      <c r="L11" s="33" t="s">
        <v>2754</v>
      </c>
      <c r="M11" s="33" t="s">
        <v>2294</v>
      </c>
      <c r="N11" s="26" t="s">
        <v>3322</v>
      </c>
      <c r="O11" s="38"/>
    </row>
    <row r="12" spans="1:15" x14ac:dyDescent="0.35">
      <c r="A12" s="38"/>
      <c r="B12" s="26">
        <v>100</v>
      </c>
      <c r="C12" s="26">
        <v>10500003</v>
      </c>
      <c r="D12" s="26" t="s">
        <v>3323</v>
      </c>
      <c r="E12" s="26">
        <v>11</v>
      </c>
      <c r="F12" s="26">
        <v>0</v>
      </c>
      <c r="G12" s="39">
        <v>3</v>
      </c>
      <c r="H12" s="26" t="s">
        <v>1029</v>
      </c>
      <c r="I12" s="33" t="s">
        <v>3321</v>
      </c>
      <c r="J12" s="41"/>
      <c r="K12" s="33" t="s">
        <v>2674</v>
      </c>
      <c r="L12" s="33" t="s">
        <v>2754</v>
      </c>
      <c r="M12" s="33" t="s">
        <v>2294</v>
      </c>
      <c r="N12" s="26" t="s">
        <v>3323</v>
      </c>
      <c r="O12" s="38"/>
    </row>
    <row r="13" spans="1:15" x14ac:dyDescent="0.35">
      <c r="A13" s="28"/>
      <c r="B13" s="26">
        <v>100</v>
      </c>
      <c r="C13" s="26">
        <v>10500004</v>
      </c>
      <c r="D13" s="26" t="s">
        <v>1068</v>
      </c>
      <c r="E13" s="26">
        <v>11</v>
      </c>
      <c r="F13" s="26">
        <v>0</v>
      </c>
      <c r="G13" s="39">
        <v>4</v>
      </c>
      <c r="H13" s="26" t="s">
        <v>1030</v>
      </c>
      <c r="I13" s="33" t="s">
        <v>1039</v>
      </c>
      <c r="J13" s="33"/>
      <c r="K13" s="33" t="s">
        <v>2674</v>
      </c>
      <c r="L13" s="33" t="s">
        <v>2755</v>
      </c>
      <c r="M13" s="33" t="s">
        <v>1848</v>
      </c>
      <c r="N13" s="26" t="s">
        <v>1068</v>
      </c>
      <c r="O13" s="28"/>
    </row>
    <row r="14" spans="1:15" x14ac:dyDescent="0.35">
      <c r="A14" s="28"/>
      <c r="B14" s="26">
        <v>100</v>
      </c>
      <c r="C14" s="26">
        <v>10500005</v>
      </c>
      <c r="D14" s="26" t="s">
        <v>1069</v>
      </c>
      <c r="E14" s="26">
        <v>11</v>
      </c>
      <c r="F14" s="26">
        <v>0</v>
      </c>
      <c r="G14" s="39">
        <v>5</v>
      </c>
      <c r="H14" s="26" t="s">
        <v>1049</v>
      </c>
      <c r="I14" s="33" t="s">
        <v>1050</v>
      </c>
      <c r="J14" s="33"/>
      <c r="K14" s="33" t="s">
        <v>2675</v>
      </c>
      <c r="L14" s="33" t="s">
        <v>2756</v>
      </c>
      <c r="M14" s="33" t="s">
        <v>1848</v>
      </c>
      <c r="N14" s="26" t="s">
        <v>1069</v>
      </c>
      <c r="O14" s="28"/>
    </row>
    <row r="15" spans="1:15" x14ac:dyDescent="0.35">
      <c r="A15" s="38"/>
      <c r="B15" s="26">
        <v>100</v>
      </c>
      <c r="C15" s="26">
        <v>10500006</v>
      </c>
      <c r="D15" s="39" t="s">
        <v>2181</v>
      </c>
      <c r="E15" s="39">
        <v>11</v>
      </c>
      <c r="F15" s="39">
        <v>0</v>
      </c>
      <c r="G15" s="39">
        <v>6</v>
      </c>
      <c r="H15" s="39" t="s">
        <v>2182</v>
      </c>
      <c r="I15" s="41" t="s">
        <v>2183</v>
      </c>
      <c r="J15" s="41"/>
      <c r="K15" s="33" t="s">
        <v>2675</v>
      </c>
      <c r="L15" s="33" t="s">
        <v>2757</v>
      </c>
      <c r="M15" s="33" t="s">
        <v>1848</v>
      </c>
      <c r="N15" s="39" t="s">
        <v>2181</v>
      </c>
      <c r="O15" s="38"/>
    </row>
    <row r="16" spans="1:15" x14ac:dyDescent="0.35">
      <c r="A16" s="28"/>
      <c r="B16" s="26">
        <v>100</v>
      </c>
      <c r="C16" s="26">
        <v>10511001</v>
      </c>
      <c r="D16" s="26" t="s">
        <v>1070</v>
      </c>
      <c r="E16" s="26">
        <v>11</v>
      </c>
      <c r="F16" s="26">
        <v>11</v>
      </c>
      <c r="G16" s="39">
        <v>11001</v>
      </c>
      <c r="H16" s="26" t="s">
        <v>2925</v>
      </c>
      <c r="I16" s="33" t="s">
        <v>1040</v>
      </c>
      <c r="J16" s="33"/>
      <c r="K16" s="33" t="s">
        <v>2676</v>
      </c>
      <c r="L16" s="33" t="s">
        <v>2756</v>
      </c>
      <c r="M16" s="33" t="s">
        <v>2103</v>
      </c>
      <c r="N16" s="26" t="s">
        <v>3502</v>
      </c>
      <c r="O16" s="28"/>
    </row>
    <row r="17" spans="1:15" x14ac:dyDescent="0.35">
      <c r="A17" s="28" t="s">
        <v>12</v>
      </c>
      <c r="B17" s="26">
        <v>100</v>
      </c>
      <c r="C17" s="26">
        <v>10511002</v>
      </c>
      <c r="D17" s="26" t="s">
        <v>1071</v>
      </c>
      <c r="E17" s="26">
        <v>11</v>
      </c>
      <c r="F17" s="26">
        <v>11</v>
      </c>
      <c r="G17" s="39">
        <v>11002</v>
      </c>
      <c r="H17" s="26" t="s">
        <v>1020</v>
      </c>
      <c r="I17" s="33" t="s">
        <v>1041</v>
      </c>
      <c r="J17" s="33"/>
      <c r="K17" s="33" t="s">
        <v>2677</v>
      </c>
      <c r="L17" s="33" t="s">
        <v>2756</v>
      </c>
      <c r="M17" s="33" t="s">
        <v>2295</v>
      </c>
      <c r="N17" s="26"/>
      <c r="O17" s="28"/>
    </row>
    <row r="18" spans="1:15" x14ac:dyDescent="0.35">
      <c r="A18" s="8" t="s">
        <v>12</v>
      </c>
      <c r="B18" s="26">
        <v>100</v>
      </c>
      <c r="C18" s="7">
        <v>10511003</v>
      </c>
      <c r="D18" s="7" t="s">
        <v>1072</v>
      </c>
      <c r="E18" s="26">
        <v>11</v>
      </c>
      <c r="F18" s="26">
        <v>11</v>
      </c>
      <c r="G18" s="39">
        <v>11003</v>
      </c>
      <c r="H18" s="26" t="s">
        <v>1021</v>
      </c>
      <c r="I18" s="33" t="s">
        <v>1042</v>
      </c>
      <c r="J18" s="34"/>
      <c r="K18" s="34" t="s">
        <v>2677</v>
      </c>
      <c r="L18" s="33" t="s">
        <v>2757</v>
      </c>
      <c r="M18" s="33" t="s">
        <v>1848</v>
      </c>
      <c r="N18" s="7"/>
      <c r="O18" s="8"/>
    </row>
    <row r="19" spans="1:15" x14ac:dyDescent="0.35">
      <c r="A19" s="8"/>
      <c r="B19" s="26">
        <v>100</v>
      </c>
      <c r="C19" s="7">
        <v>10512001</v>
      </c>
      <c r="D19" s="7" t="s">
        <v>1073</v>
      </c>
      <c r="E19" s="7">
        <v>11</v>
      </c>
      <c r="F19" s="26">
        <v>12</v>
      </c>
      <c r="G19" s="39">
        <v>12001</v>
      </c>
      <c r="H19" s="26" t="s">
        <v>1022</v>
      </c>
      <c r="I19" s="34" t="s">
        <v>1043</v>
      </c>
      <c r="J19" s="34"/>
      <c r="K19" s="34" t="s">
        <v>2676</v>
      </c>
      <c r="L19" s="33" t="s">
        <v>2759</v>
      </c>
      <c r="M19" s="33" t="s">
        <v>2295</v>
      </c>
      <c r="N19" s="7" t="s">
        <v>1073</v>
      </c>
      <c r="O19" s="8"/>
    </row>
    <row r="20" spans="1:15" x14ac:dyDescent="0.35">
      <c r="A20" s="8" t="s">
        <v>12</v>
      </c>
      <c r="B20" s="26">
        <v>100</v>
      </c>
      <c r="C20" s="7">
        <v>10512002</v>
      </c>
      <c r="D20" s="7" t="s">
        <v>1074</v>
      </c>
      <c r="E20" s="7">
        <v>11</v>
      </c>
      <c r="F20" s="26">
        <v>12</v>
      </c>
      <c r="G20" s="39">
        <v>12002</v>
      </c>
      <c r="H20" s="26" t="s">
        <v>1023</v>
      </c>
      <c r="I20" s="34" t="s">
        <v>1044</v>
      </c>
      <c r="J20" s="34"/>
      <c r="K20" s="34" t="s">
        <v>2678</v>
      </c>
      <c r="L20" s="33" t="s">
        <v>2758</v>
      </c>
      <c r="M20" s="33" t="s">
        <v>2295</v>
      </c>
      <c r="N20" s="7"/>
      <c r="O20" s="8"/>
    </row>
    <row r="21" spans="1:15" x14ac:dyDescent="0.35">
      <c r="A21" s="8"/>
      <c r="B21" s="26">
        <v>100</v>
      </c>
      <c r="C21" s="7">
        <v>10513001</v>
      </c>
      <c r="D21" s="7" t="s">
        <v>1075</v>
      </c>
      <c r="E21" s="7">
        <v>11</v>
      </c>
      <c r="F21" s="7">
        <v>13</v>
      </c>
      <c r="G21" s="39">
        <v>13001</v>
      </c>
      <c r="H21" s="7" t="s">
        <v>1024</v>
      </c>
      <c r="I21" s="34" t="s">
        <v>1045</v>
      </c>
      <c r="J21" s="34"/>
      <c r="K21" s="34" t="s">
        <v>2679</v>
      </c>
      <c r="L21" s="33" t="s">
        <v>2756</v>
      </c>
      <c r="M21" s="33" t="s">
        <v>2295</v>
      </c>
      <c r="N21" s="7" t="s">
        <v>1075</v>
      </c>
      <c r="O21" s="8"/>
    </row>
    <row r="22" spans="1:15" x14ac:dyDescent="0.35">
      <c r="A22" s="8" t="s">
        <v>12</v>
      </c>
      <c r="B22" s="26">
        <v>100</v>
      </c>
      <c r="C22" s="7">
        <v>10513002</v>
      </c>
      <c r="D22" s="7" t="s">
        <v>1076</v>
      </c>
      <c r="E22" s="7">
        <v>11</v>
      </c>
      <c r="F22" s="7">
        <v>13</v>
      </c>
      <c r="G22" s="39">
        <v>13002</v>
      </c>
      <c r="H22" s="7" t="s">
        <v>1025</v>
      </c>
      <c r="I22" s="34" t="s">
        <v>1046</v>
      </c>
      <c r="J22" s="34"/>
      <c r="K22" s="34" t="s">
        <v>2680</v>
      </c>
      <c r="L22" s="33" t="s">
        <v>2757</v>
      </c>
      <c r="M22" s="33" t="s">
        <v>1848</v>
      </c>
      <c r="N22" s="7"/>
      <c r="O22" s="8"/>
    </row>
    <row r="23" spans="1:15" x14ac:dyDescent="0.35">
      <c r="A23" s="8"/>
      <c r="B23" s="26">
        <v>100</v>
      </c>
      <c r="C23" s="7">
        <v>10514001</v>
      </c>
      <c r="D23" s="7" t="s">
        <v>2776</v>
      </c>
      <c r="E23" s="7">
        <v>11</v>
      </c>
      <c r="F23" s="7">
        <v>14</v>
      </c>
      <c r="G23" s="39">
        <v>14001</v>
      </c>
      <c r="H23" s="7" t="s">
        <v>1370</v>
      </c>
      <c r="I23" s="34" t="s">
        <v>1372</v>
      </c>
      <c r="J23" s="34"/>
      <c r="K23" s="34" t="s">
        <v>2681</v>
      </c>
      <c r="L23" s="33" t="s">
        <v>2760</v>
      </c>
      <c r="M23" s="33" t="s">
        <v>2295</v>
      </c>
      <c r="N23" s="7" t="s">
        <v>2776</v>
      </c>
      <c r="O23" s="8"/>
    </row>
    <row r="24" spans="1:15" x14ac:dyDescent="0.35">
      <c r="A24" s="8"/>
      <c r="B24" s="26">
        <v>100</v>
      </c>
      <c r="C24" s="7">
        <v>10514002</v>
      </c>
      <c r="D24" s="7" t="s">
        <v>1371</v>
      </c>
      <c r="E24" s="7">
        <v>11</v>
      </c>
      <c r="F24" s="7">
        <v>14</v>
      </c>
      <c r="G24" s="39">
        <v>14002</v>
      </c>
      <c r="H24" s="7" t="s">
        <v>2136</v>
      </c>
      <c r="I24" s="34" t="s">
        <v>1373</v>
      </c>
      <c r="J24" s="34"/>
      <c r="K24" s="34" t="s">
        <v>2681</v>
      </c>
      <c r="L24" s="33" t="s">
        <v>2760</v>
      </c>
      <c r="M24" s="33" t="s">
        <v>1848</v>
      </c>
      <c r="N24" s="7" t="s">
        <v>1371</v>
      </c>
      <c r="O24" s="8"/>
    </row>
    <row r="25" spans="1:15" x14ac:dyDescent="0.35">
      <c r="A25" s="8" t="s">
        <v>12</v>
      </c>
      <c r="B25" s="26">
        <v>100</v>
      </c>
      <c r="C25" s="7">
        <v>10515001</v>
      </c>
      <c r="D25" s="7" t="s">
        <v>1077</v>
      </c>
      <c r="E25" s="7">
        <v>11</v>
      </c>
      <c r="F25" s="7">
        <v>15</v>
      </c>
      <c r="G25" s="39">
        <v>15001</v>
      </c>
      <c r="H25" s="7" t="s">
        <v>1026</v>
      </c>
      <c r="I25" s="34" t="s">
        <v>1047</v>
      </c>
      <c r="J25" s="34"/>
      <c r="K25" s="34" t="s">
        <v>2682</v>
      </c>
      <c r="L25" s="33" t="s">
        <v>2761</v>
      </c>
      <c r="M25" s="33" t="s">
        <v>2295</v>
      </c>
      <c r="N25" s="7"/>
      <c r="O25" s="8"/>
    </row>
    <row r="26" spans="1:15" x14ac:dyDescent="0.35">
      <c r="A26" s="8" t="s">
        <v>12</v>
      </c>
      <c r="B26" s="26">
        <v>100</v>
      </c>
      <c r="C26" s="7">
        <v>10515002</v>
      </c>
      <c r="D26" s="7" t="s">
        <v>1078</v>
      </c>
      <c r="E26" s="7">
        <v>11</v>
      </c>
      <c r="F26" s="7">
        <v>15</v>
      </c>
      <c r="G26" s="39">
        <v>15002</v>
      </c>
      <c r="H26" s="7" t="s">
        <v>1027</v>
      </c>
      <c r="I26" s="34" t="s">
        <v>1048</v>
      </c>
      <c r="J26" s="34"/>
      <c r="K26" s="34" t="s">
        <v>2675</v>
      </c>
      <c r="L26" s="33" t="s">
        <v>2761</v>
      </c>
      <c r="M26" s="33" t="s">
        <v>2295</v>
      </c>
      <c r="N26" s="7"/>
      <c r="O26" s="8"/>
    </row>
    <row r="27" spans="1:15" x14ac:dyDescent="0.35">
      <c r="A27" s="8"/>
      <c r="B27" s="39">
        <v>100</v>
      </c>
      <c r="C27" s="7">
        <v>10516001</v>
      </c>
      <c r="D27" s="7" t="s">
        <v>1079</v>
      </c>
      <c r="E27" s="7">
        <v>11</v>
      </c>
      <c r="F27" s="7">
        <v>16</v>
      </c>
      <c r="G27" s="39">
        <v>16001</v>
      </c>
      <c r="H27" s="7" t="s">
        <v>1063</v>
      </c>
      <c r="I27" s="34" t="s">
        <v>1066</v>
      </c>
      <c r="J27" s="34"/>
      <c r="K27" s="34" t="s">
        <v>2683</v>
      </c>
      <c r="L27" s="33" t="s">
        <v>2762</v>
      </c>
      <c r="M27" s="33" t="s">
        <v>1848</v>
      </c>
      <c r="N27" s="7" t="s">
        <v>1079</v>
      </c>
      <c r="O27" s="8"/>
    </row>
    <row r="28" spans="1:15" x14ac:dyDescent="0.35">
      <c r="A28" s="8"/>
      <c r="B28" s="39">
        <v>100</v>
      </c>
      <c r="C28" s="7">
        <v>10516002</v>
      </c>
      <c r="D28" s="7" t="s">
        <v>1080</v>
      </c>
      <c r="E28" s="7">
        <v>11</v>
      </c>
      <c r="F28" s="7">
        <v>16</v>
      </c>
      <c r="G28" s="39">
        <v>16002</v>
      </c>
      <c r="H28" s="7" t="s">
        <v>1064</v>
      </c>
      <c r="I28" s="34" t="s">
        <v>1065</v>
      </c>
      <c r="J28" s="34"/>
      <c r="K28" s="34" t="s">
        <v>2683</v>
      </c>
      <c r="L28" s="33" t="s">
        <v>2763</v>
      </c>
      <c r="M28" s="33" t="s">
        <v>1848</v>
      </c>
      <c r="N28" s="7" t="s">
        <v>1080</v>
      </c>
      <c r="O28" s="8"/>
    </row>
    <row r="29" spans="1:15" x14ac:dyDescent="0.35">
      <c r="A29" s="8"/>
      <c r="B29" s="26">
        <v>100</v>
      </c>
      <c r="C29" s="7">
        <v>10521001</v>
      </c>
      <c r="D29" s="7" t="s">
        <v>1082</v>
      </c>
      <c r="E29" s="7">
        <v>21</v>
      </c>
      <c r="F29" s="7">
        <v>21</v>
      </c>
      <c r="G29" s="39">
        <v>21001</v>
      </c>
      <c r="H29" s="7" t="s">
        <v>1033</v>
      </c>
      <c r="I29" s="34" t="s">
        <v>1052</v>
      </c>
      <c r="J29" s="34"/>
      <c r="K29" s="34" t="s">
        <v>2684</v>
      </c>
      <c r="L29" s="34" t="s">
        <v>2764</v>
      </c>
      <c r="M29" s="33" t="s">
        <v>1847</v>
      </c>
      <c r="N29" s="7" t="s">
        <v>1082</v>
      </c>
      <c r="O29" s="8"/>
    </row>
    <row r="30" spans="1:15" x14ac:dyDescent="0.35">
      <c r="A30" s="8"/>
      <c r="B30" s="26">
        <v>100</v>
      </c>
      <c r="C30" s="7">
        <v>10521002</v>
      </c>
      <c r="D30" s="7" t="s">
        <v>1081</v>
      </c>
      <c r="E30" s="7">
        <v>21</v>
      </c>
      <c r="F30" s="7">
        <v>21</v>
      </c>
      <c r="G30" s="39">
        <v>21002</v>
      </c>
      <c r="H30" s="7" t="s">
        <v>1032</v>
      </c>
      <c r="I30" s="34" t="s">
        <v>1051</v>
      </c>
      <c r="J30" s="34"/>
      <c r="K30" s="34" t="s">
        <v>2685</v>
      </c>
      <c r="L30" s="34" t="s">
        <v>2764</v>
      </c>
      <c r="M30" s="33" t="s">
        <v>2296</v>
      </c>
      <c r="N30" s="7" t="s">
        <v>1081</v>
      </c>
      <c r="O30" s="8"/>
    </row>
    <row r="31" spans="1:15" x14ac:dyDescent="0.35">
      <c r="A31" s="8" t="s">
        <v>104</v>
      </c>
      <c r="B31" s="26">
        <v>100</v>
      </c>
      <c r="C31" s="7">
        <v>10521003</v>
      </c>
      <c r="D31" s="7"/>
      <c r="E31" s="7"/>
      <c r="F31" s="7"/>
      <c r="G31" s="39">
        <v>21003</v>
      </c>
      <c r="H31" s="7"/>
      <c r="I31" s="34"/>
      <c r="J31" s="34"/>
      <c r="K31" s="34"/>
      <c r="L31" s="34"/>
      <c r="M31" s="34"/>
      <c r="N31" s="7"/>
      <c r="O31" s="8"/>
    </row>
    <row r="32" spans="1:15" x14ac:dyDescent="0.35">
      <c r="A32" s="8"/>
      <c r="B32" s="26">
        <v>100</v>
      </c>
      <c r="C32" s="7">
        <v>10522001</v>
      </c>
      <c r="D32" s="7" t="s">
        <v>1084</v>
      </c>
      <c r="E32" s="7">
        <v>21</v>
      </c>
      <c r="F32" s="7">
        <v>22</v>
      </c>
      <c r="G32" s="39">
        <v>22001</v>
      </c>
      <c r="H32" s="7" t="s">
        <v>1037</v>
      </c>
      <c r="I32" s="34" t="s">
        <v>1054</v>
      </c>
      <c r="J32" s="34"/>
      <c r="K32" s="34" t="s">
        <v>2686</v>
      </c>
      <c r="L32" s="34" t="s">
        <v>2765</v>
      </c>
      <c r="M32" s="33" t="s">
        <v>1847</v>
      </c>
      <c r="N32" s="7" t="s">
        <v>1084</v>
      </c>
      <c r="O32" s="8"/>
    </row>
    <row r="33" spans="1:15" x14ac:dyDescent="0.35">
      <c r="A33" s="8"/>
      <c r="B33" s="26">
        <v>100</v>
      </c>
      <c r="C33" s="7">
        <v>10522002</v>
      </c>
      <c r="D33" s="7" t="s">
        <v>1083</v>
      </c>
      <c r="E33" s="7">
        <v>21</v>
      </c>
      <c r="F33" s="7">
        <v>22</v>
      </c>
      <c r="G33" s="39">
        <v>22002</v>
      </c>
      <c r="H33" s="7" t="s">
        <v>1031</v>
      </c>
      <c r="I33" s="34" t="s">
        <v>1053</v>
      </c>
      <c r="J33" s="34"/>
      <c r="K33" s="34" t="s">
        <v>2684</v>
      </c>
      <c r="L33" s="34" t="s">
        <v>2765</v>
      </c>
      <c r="M33" s="33" t="s">
        <v>2296</v>
      </c>
      <c r="N33" s="7" t="s">
        <v>1083</v>
      </c>
      <c r="O33" s="8"/>
    </row>
    <row r="34" spans="1:15" x14ac:dyDescent="0.35">
      <c r="A34" s="8" t="s">
        <v>104</v>
      </c>
      <c r="B34" s="26">
        <v>100</v>
      </c>
      <c r="C34" s="7">
        <v>10522003</v>
      </c>
      <c r="D34" s="7"/>
      <c r="E34" s="7"/>
      <c r="F34" s="7"/>
      <c r="G34" s="39">
        <v>22003</v>
      </c>
      <c r="H34" s="7"/>
      <c r="I34" s="34"/>
      <c r="J34" s="34"/>
      <c r="K34" s="34"/>
      <c r="L34" s="34"/>
      <c r="M34" s="34"/>
      <c r="N34" s="7"/>
      <c r="O34" s="8"/>
    </row>
    <row r="35" spans="1:15" x14ac:dyDescent="0.35">
      <c r="A35" s="8"/>
      <c r="B35" s="26">
        <v>100</v>
      </c>
      <c r="C35" s="7">
        <v>10523001</v>
      </c>
      <c r="D35" s="7" t="s">
        <v>1085</v>
      </c>
      <c r="E35" s="7">
        <v>21</v>
      </c>
      <c r="F35" s="7">
        <v>23</v>
      </c>
      <c r="G35" s="39">
        <v>23001</v>
      </c>
      <c r="H35" s="7" t="s">
        <v>1034</v>
      </c>
      <c r="I35" s="34" t="s">
        <v>1056</v>
      </c>
      <c r="J35" s="34"/>
      <c r="K35" s="34" t="s">
        <v>2687</v>
      </c>
      <c r="L35" s="34" t="s">
        <v>2766</v>
      </c>
      <c r="M35" s="33" t="s">
        <v>1847</v>
      </c>
      <c r="N35" s="7" t="s">
        <v>1085</v>
      </c>
      <c r="O35" s="8"/>
    </row>
    <row r="36" spans="1:15" x14ac:dyDescent="0.35">
      <c r="A36" s="8"/>
      <c r="B36" s="26">
        <v>100</v>
      </c>
      <c r="C36" s="7">
        <v>10523002</v>
      </c>
      <c r="D36" s="7" t="s">
        <v>3423</v>
      </c>
      <c r="E36" s="7">
        <v>21</v>
      </c>
      <c r="F36" s="7">
        <v>23</v>
      </c>
      <c r="G36" s="39">
        <v>23002</v>
      </c>
      <c r="H36" s="7" t="s">
        <v>3422</v>
      </c>
      <c r="I36" s="34" t="s">
        <v>1055</v>
      </c>
      <c r="J36" s="34"/>
      <c r="K36" s="34" t="s">
        <v>2688</v>
      </c>
      <c r="L36" s="34" t="s">
        <v>2766</v>
      </c>
      <c r="M36" s="33" t="s">
        <v>2296</v>
      </c>
      <c r="N36" s="7" t="s">
        <v>3423</v>
      </c>
      <c r="O36" s="8"/>
    </row>
    <row r="37" spans="1:15" x14ac:dyDescent="0.35">
      <c r="A37" s="8" t="s">
        <v>104</v>
      </c>
      <c r="B37" s="26">
        <v>100</v>
      </c>
      <c r="C37" s="7">
        <v>10523003</v>
      </c>
      <c r="D37" s="7"/>
      <c r="E37" s="7"/>
      <c r="F37" s="7"/>
      <c r="G37" s="39">
        <v>23003</v>
      </c>
      <c r="H37" s="7"/>
      <c r="I37" s="34"/>
      <c r="J37" s="34"/>
      <c r="K37" s="34"/>
      <c r="L37" s="34"/>
      <c r="M37" s="34"/>
      <c r="N37" s="7"/>
      <c r="O37" s="8"/>
    </row>
    <row r="38" spans="1:15" x14ac:dyDescent="0.35">
      <c r="A38" s="8"/>
      <c r="B38" s="26">
        <v>100</v>
      </c>
      <c r="C38" s="7">
        <v>10524001</v>
      </c>
      <c r="D38" s="7" t="s">
        <v>1086</v>
      </c>
      <c r="E38" s="7">
        <v>21</v>
      </c>
      <c r="F38" s="7">
        <v>24</v>
      </c>
      <c r="G38" s="39">
        <v>24001</v>
      </c>
      <c r="H38" s="7" t="s">
        <v>1035</v>
      </c>
      <c r="I38" s="34" t="s">
        <v>1057</v>
      </c>
      <c r="J38" s="34"/>
      <c r="K38" s="34" t="s">
        <v>2689</v>
      </c>
      <c r="L38" s="34" t="s">
        <v>2767</v>
      </c>
      <c r="M38" s="33" t="s">
        <v>1847</v>
      </c>
      <c r="N38" s="7" t="s">
        <v>1086</v>
      </c>
      <c r="O38" s="8"/>
    </row>
    <row r="39" spans="1:15" x14ac:dyDescent="0.35">
      <c r="A39" s="8"/>
      <c r="B39" s="26">
        <v>100</v>
      </c>
      <c r="C39" s="7">
        <v>10524002</v>
      </c>
      <c r="D39" s="7" t="s">
        <v>1087</v>
      </c>
      <c r="E39" s="7">
        <v>21</v>
      </c>
      <c r="F39" s="7">
        <v>24</v>
      </c>
      <c r="G39" s="39">
        <v>24002</v>
      </c>
      <c r="H39" s="7" t="s">
        <v>1036</v>
      </c>
      <c r="I39" s="34" t="s">
        <v>1058</v>
      </c>
      <c r="J39" s="34"/>
      <c r="K39" s="34" t="s">
        <v>2690</v>
      </c>
      <c r="L39" s="34" t="s">
        <v>2767</v>
      </c>
      <c r="M39" s="33" t="s">
        <v>2296</v>
      </c>
      <c r="N39" s="7" t="s">
        <v>1087</v>
      </c>
      <c r="O39" s="8"/>
    </row>
    <row r="40" spans="1:15" x14ac:dyDescent="0.35">
      <c r="A40" s="8" t="s">
        <v>104</v>
      </c>
      <c r="B40" s="26">
        <v>100</v>
      </c>
      <c r="C40" s="7">
        <v>10524003</v>
      </c>
      <c r="D40" s="7"/>
      <c r="E40" s="7"/>
      <c r="F40" s="7"/>
      <c r="G40" s="7">
        <v>24003</v>
      </c>
      <c r="H40" s="7"/>
      <c r="I40" s="34"/>
      <c r="J40" s="34"/>
      <c r="K40" s="34"/>
      <c r="L40" s="34"/>
      <c r="M40" s="34"/>
      <c r="N40" s="7"/>
      <c r="O40" s="8"/>
    </row>
    <row r="41" spans="1:15" x14ac:dyDescent="0.35">
      <c r="A41" s="8"/>
      <c r="B41" s="26">
        <v>100</v>
      </c>
      <c r="C41" s="7"/>
      <c r="D41" s="7"/>
      <c r="E41" s="7"/>
      <c r="F41" s="7"/>
      <c r="G41" s="7"/>
      <c r="H41" s="7"/>
      <c r="I41" s="34"/>
      <c r="J41" s="34"/>
      <c r="K41" s="34"/>
      <c r="L41" s="34"/>
      <c r="M41" s="34"/>
      <c r="N41" s="7"/>
      <c r="O41" s="8"/>
    </row>
    <row r="42" spans="1:15" x14ac:dyDescent="0.35">
      <c r="A42" s="8"/>
      <c r="B42" s="26">
        <v>100</v>
      </c>
      <c r="C42" s="7"/>
      <c r="D42" s="7"/>
      <c r="E42" s="7"/>
      <c r="F42" s="7"/>
      <c r="G42" s="7"/>
      <c r="H42" s="7"/>
      <c r="I42" s="34"/>
      <c r="J42" s="34"/>
      <c r="K42" s="34"/>
      <c r="L42" s="34"/>
      <c r="M42" s="34"/>
      <c r="N42" s="7"/>
      <c r="O42" s="8"/>
    </row>
    <row r="43" spans="1:15" x14ac:dyDescent="0.35">
      <c r="A43" s="8"/>
      <c r="B43" s="26">
        <v>100</v>
      </c>
      <c r="C43" s="7"/>
      <c r="D43" s="7"/>
      <c r="E43" s="7"/>
      <c r="F43" s="7"/>
      <c r="G43" s="7"/>
      <c r="H43" s="7"/>
      <c r="I43" s="34"/>
      <c r="J43" s="34"/>
      <c r="K43" s="34"/>
      <c r="L43" s="34"/>
      <c r="M43" s="34"/>
      <c r="N43" s="7"/>
      <c r="O43" s="8"/>
    </row>
    <row r="44" spans="1:15" x14ac:dyDescent="0.35">
      <c r="A44" s="8"/>
      <c r="B44" s="26">
        <v>100</v>
      </c>
      <c r="C44" s="7"/>
      <c r="D44" s="7"/>
      <c r="E44" s="7"/>
      <c r="F44" s="7"/>
      <c r="G44" s="7"/>
      <c r="H44" s="7"/>
      <c r="I44" s="34"/>
      <c r="J44" s="34"/>
      <c r="K44" s="34"/>
      <c r="L44" s="34"/>
      <c r="M44" s="34"/>
      <c r="N44" s="7"/>
      <c r="O44" s="8"/>
    </row>
    <row r="45" spans="1:15" x14ac:dyDescent="0.35">
      <c r="A45" s="8"/>
      <c r="B45" s="26">
        <v>100</v>
      </c>
      <c r="C45" s="7"/>
      <c r="D45" s="7"/>
      <c r="E45" s="7"/>
      <c r="F45" s="7"/>
      <c r="G45" s="7"/>
      <c r="H45" s="7"/>
      <c r="I45" s="34"/>
      <c r="J45" s="34"/>
      <c r="K45" s="34"/>
      <c r="L45" s="34"/>
      <c r="M45" s="34"/>
      <c r="N45" s="7"/>
      <c r="O45" s="8"/>
    </row>
    <row r="46" spans="1:15" x14ac:dyDescent="0.35">
      <c r="A46" s="8"/>
      <c r="B46" s="26">
        <v>100</v>
      </c>
      <c r="C46" s="7"/>
      <c r="D46" s="7"/>
      <c r="E46" s="7"/>
      <c r="F46" s="7"/>
      <c r="G46" s="7"/>
      <c r="H46" s="7"/>
      <c r="I46" s="34"/>
      <c r="J46" s="34"/>
      <c r="K46" s="34"/>
      <c r="L46" s="34"/>
      <c r="M46" s="34"/>
      <c r="N46" s="7"/>
      <c r="O46" s="8"/>
    </row>
    <row r="47" spans="1:15" x14ac:dyDescent="0.35">
      <c r="A47" s="8"/>
      <c r="B47" s="26">
        <v>100</v>
      </c>
      <c r="C47" s="7"/>
      <c r="D47" s="7"/>
      <c r="E47" s="7"/>
      <c r="F47" s="7"/>
      <c r="G47" s="7"/>
      <c r="H47" s="7"/>
      <c r="I47" s="34"/>
      <c r="J47" s="34"/>
      <c r="K47" s="34"/>
      <c r="L47" s="34"/>
      <c r="M47" s="34"/>
      <c r="N47" s="7"/>
      <c r="O47" s="8"/>
    </row>
    <row r="48" spans="1:15" x14ac:dyDescent="0.35">
      <c r="A48" s="8"/>
      <c r="B48" s="26">
        <v>100</v>
      </c>
      <c r="C48" s="7"/>
      <c r="D48" s="7"/>
      <c r="E48" s="7"/>
      <c r="F48" s="7"/>
      <c r="G48" s="7"/>
      <c r="H48" s="7"/>
      <c r="I48" s="34"/>
      <c r="J48" s="34"/>
      <c r="K48" s="34"/>
      <c r="L48" s="34"/>
      <c r="M48" s="34"/>
      <c r="N48" s="7"/>
      <c r="O48" s="8"/>
    </row>
    <row r="49" spans="1:15" x14ac:dyDescent="0.35">
      <c r="A49" s="8"/>
      <c r="B49" s="26">
        <v>100</v>
      </c>
      <c r="C49" s="7"/>
      <c r="D49" s="7"/>
      <c r="E49" s="7"/>
      <c r="F49" s="7"/>
      <c r="G49" s="7"/>
      <c r="H49" s="7"/>
      <c r="I49" s="34"/>
      <c r="J49" s="34"/>
      <c r="K49" s="34"/>
      <c r="L49" s="34"/>
      <c r="M49" s="34"/>
      <c r="N49" s="7"/>
      <c r="O49" s="8"/>
    </row>
    <row r="50" spans="1:15" x14ac:dyDescent="0.35">
      <c r="A50" s="8"/>
      <c r="B50" s="26">
        <v>100</v>
      </c>
      <c r="C50" s="7"/>
      <c r="D50" s="7"/>
      <c r="E50" s="7"/>
      <c r="F50" s="7"/>
      <c r="G50" s="7"/>
      <c r="H50" s="7"/>
      <c r="I50" s="34"/>
      <c r="J50" s="34"/>
      <c r="K50" s="34"/>
      <c r="L50" s="34"/>
      <c r="M50" s="34"/>
      <c r="N50" s="7"/>
      <c r="O5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FD459-1688-49A0-99BD-4B14E36AC416}">
  <sheetPr codeName="Sheet16">
    <tabColor rgb="FFC00000"/>
  </sheetPr>
  <dimension ref="A1:L4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36" customWidth="1"/>
    <col min="7" max="7" width="20.625" style="36" customWidth="1"/>
    <col min="8" max="8" width="15.625" style="36" customWidth="1"/>
    <col min="9" max="9" width="30.625" style="36" customWidth="1"/>
    <col min="10" max="11" width="50.625" style="36" customWidth="1"/>
    <col min="12" max="12" width="50.625" style="10" customWidth="1"/>
    <col min="13" max="16384" width="10.625" style="10"/>
  </cols>
  <sheetData>
    <row r="1" spans="1:12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40</v>
      </c>
      <c r="F1" s="5" t="s">
        <v>40</v>
      </c>
      <c r="G1" s="5" t="s">
        <v>349</v>
      </c>
      <c r="H1" s="5" t="s">
        <v>40</v>
      </c>
      <c r="I1" s="5" t="s">
        <v>40</v>
      </c>
      <c r="J1" s="42" t="s">
        <v>1481</v>
      </c>
      <c r="K1" s="42" t="s">
        <v>1499</v>
      </c>
      <c r="L1" s="6" t="s">
        <v>74</v>
      </c>
    </row>
    <row r="2" spans="1:12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350</v>
      </c>
      <c r="F2" s="2" t="s">
        <v>351</v>
      </c>
      <c r="G2" s="2" t="s">
        <v>352</v>
      </c>
      <c r="H2" s="2" t="s">
        <v>76</v>
      </c>
      <c r="I2" s="2" t="s">
        <v>159</v>
      </c>
      <c r="J2" s="43" t="s">
        <v>1424</v>
      </c>
      <c r="K2" s="43" t="s">
        <v>1497</v>
      </c>
      <c r="L2" s="3" t="s">
        <v>74</v>
      </c>
    </row>
    <row r="3" spans="1:12" x14ac:dyDescent="0.35">
      <c r="A3" s="24" t="s">
        <v>9</v>
      </c>
      <c r="B3" s="25" t="s">
        <v>31</v>
      </c>
      <c r="C3" s="26" t="s">
        <v>353</v>
      </c>
      <c r="D3" s="26" t="s">
        <v>149</v>
      </c>
      <c r="E3" s="26" t="s">
        <v>354</v>
      </c>
      <c r="F3" s="26" t="s">
        <v>355</v>
      </c>
      <c r="G3" s="26" t="s">
        <v>356</v>
      </c>
      <c r="H3" s="26" t="s">
        <v>357</v>
      </c>
      <c r="I3" s="26" t="s">
        <v>358</v>
      </c>
      <c r="J3" s="26" t="s">
        <v>1425</v>
      </c>
      <c r="K3" s="26" t="s">
        <v>1498</v>
      </c>
      <c r="L3" s="25" t="s">
        <v>80</v>
      </c>
    </row>
    <row r="4" spans="1:12" x14ac:dyDescent="0.35">
      <c r="A4" s="27" t="s">
        <v>104</v>
      </c>
      <c r="B4" s="27"/>
      <c r="C4" s="27" t="s">
        <v>359</v>
      </c>
      <c r="D4" s="27" t="s">
        <v>360</v>
      </c>
      <c r="E4" s="27" t="s">
        <v>361</v>
      </c>
      <c r="F4" s="27" t="s">
        <v>362</v>
      </c>
      <c r="G4" s="30" t="s">
        <v>363</v>
      </c>
      <c r="H4" s="27" t="s">
        <v>364</v>
      </c>
      <c r="I4" s="27" t="s">
        <v>365</v>
      </c>
      <c r="J4" s="30" t="s">
        <v>1482</v>
      </c>
      <c r="K4" s="30" t="s">
        <v>1518</v>
      </c>
      <c r="L4" s="27" t="s">
        <v>128</v>
      </c>
    </row>
    <row r="5" spans="1:12" x14ac:dyDescent="0.35">
      <c r="A5" s="28"/>
      <c r="B5" s="26">
        <v>100</v>
      </c>
      <c r="C5" s="26">
        <v>10601001</v>
      </c>
      <c r="D5" s="26" t="s">
        <v>1429</v>
      </c>
      <c r="E5" s="26" t="s">
        <v>1428</v>
      </c>
      <c r="F5" s="26" t="s">
        <v>1426</v>
      </c>
      <c r="G5" s="33" t="s">
        <v>1447</v>
      </c>
      <c r="H5" s="26" t="s">
        <v>1452</v>
      </c>
      <c r="I5" s="29" t="s">
        <v>1465</v>
      </c>
      <c r="J5" s="33" t="s">
        <v>1485</v>
      </c>
      <c r="K5" s="33"/>
      <c r="L5" s="28"/>
    </row>
    <row r="6" spans="1:12" x14ac:dyDescent="0.35">
      <c r="A6" s="28"/>
      <c r="B6" s="26">
        <v>100</v>
      </c>
      <c r="C6" s="26">
        <v>10601002</v>
      </c>
      <c r="D6" s="26" t="s">
        <v>1430</v>
      </c>
      <c r="E6" s="26" t="s">
        <v>1428</v>
      </c>
      <c r="F6" s="26" t="s">
        <v>1426</v>
      </c>
      <c r="G6" s="33" t="s">
        <v>1447</v>
      </c>
      <c r="H6" s="26" t="s">
        <v>1453</v>
      </c>
      <c r="I6" s="29" t="s">
        <v>1466</v>
      </c>
      <c r="J6" s="33" t="s">
        <v>1486</v>
      </c>
      <c r="K6" s="33"/>
      <c r="L6" s="28"/>
    </row>
    <row r="7" spans="1:12" x14ac:dyDescent="0.35">
      <c r="A7" s="28"/>
      <c r="B7" s="26">
        <v>100</v>
      </c>
      <c r="C7" s="26">
        <v>10601003</v>
      </c>
      <c r="D7" s="26" t="s">
        <v>1431</v>
      </c>
      <c r="E7" s="26" t="s">
        <v>1428</v>
      </c>
      <c r="F7" s="26" t="s">
        <v>1426</v>
      </c>
      <c r="G7" s="33"/>
      <c r="H7" s="26" t="s">
        <v>1454</v>
      </c>
      <c r="I7" s="29" t="s">
        <v>1467</v>
      </c>
      <c r="J7" s="33" t="s">
        <v>1487</v>
      </c>
      <c r="K7" s="33"/>
      <c r="L7" s="28"/>
    </row>
    <row r="8" spans="1:12" x14ac:dyDescent="0.35">
      <c r="A8" s="28"/>
      <c r="B8" s="26">
        <v>100</v>
      </c>
      <c r="C8" s="26">
        <v>10601004</v>
      </c>
      <c r="D8" s="26" t="s">
        <v>1432</v>
      </c>
      <c r="E8" s="26" t="s">
        <v>1428</v>
      </c>
      <c r="F8" s="26" t="s">
        <v>1426</v>
      </c>
      <c r="G8" s="33"/>
      <c r="H8" s="26" t="s">
        <v>1455</v>
      </c>
      <c r="I8" s="29" t="s">
        <v>1468</v>
      </c>
      <c r="J8" s="33" t="s">
        <v>1488</v>
      </c>
      <c r="K8" s="33"/>
      <c r="L8" s="28"/>
    </row>
    <row r="9" spans="1:12" x14ac:dyDescent="0.35">
      <c r="A9" s="28"/>
      <c r="B9" s="26">
        <v>100</v>
      </c>
      <c r="C9" s="26">
        <v>10601005</v>
      </c>
      <c r="D9" s="26" t="s">
        <v>1433</v>
      </c>
      <c r="E9" s="26" t="s">
        <v>1428</v>
      </c>
      <c r="F9" s="26" t="s">
        <v>1427</v>
      </c>
      <c r="G9" s="33"/>
      <c r="H9" s="26" t="s">
        <v>1456</v>
      </c>
      <c r="I9" s="29" t="s">
        <v>1469</v>
      </c>
      <c r="J9" s="33" t="s">
        <v>1489</v>
      </c>
      <c r="K9" s="33"/>
      <c r="L9" s="28"/>
    </row>
    <row r="10" spans="1:12" x14ac:dyDescent="0.35">
      <c r="A10" s="28"/>
      <c r="B10" s="26">
        <v>100</v>
      </c>
      <c r="C10" s="26">
        <v>10601006</v>
      </c>
      <c r="D10" s="26" t="s">
        <v>1434</v>
      </c>
      <c r="E10" s="26" t="s">
        <v>1428</v>
      </c>
      <c r="F10" s="26" t="s">
        <v>1426</v>
      </c>
      <c r="G10" s="33"/>
      <c r="H10" s="26" t="s">
        <v>1457</v>
      </c>
      <c r="I10" s="29" t="s">
        <v>1470</v>
      </c>
      <c r="J10" s="33" t="s">
        <v>1490</v>
      </c>
      <c r="K10" s="33"/>
      <c r="L10" s="28"/>
    </row>
    <row r="11" spans="1:12" x14ac:dyDescent="0.35">
      <c r="A11" s="8"/>
      <c r="B11" s="26">
        <v>100</v>
      </c>
      <c r="C11" s="26">
        <v>10601007</v>
      </c>
      <c r="D11" s="7" t="s">
        <v>2598</v>
      </c>
      <c r="E11" s="26" t="s">
        <v>1428</v>
      </c>
      <c r="F11" s="26" t="s">
        <v>1427</v>
      </c>
      <c r="G11" s="33"/>
      <c r="H11" s="7" t="s">
        <v>2608</v>
      </c>
      <c r="I11" s="9" t="s">
        <v>2613</v>
      </c>
      <c r="J11" s="33" t="s">
        <v>1489</v>
      </c>
      <c r="K11" s="34"/>
      <c r="L11" s="8"/>
    </row>
    <row r="12" spans="1:12" x14ac:dyDescent="0.35">
      <c r="A12" s="8"/>
      <c r="B12" s="26">
        <v>100</v>
      </c>
      <c r="C12" s="26">
        <v>10601008</v>
      </c>
      <c r="D12" s="26" t="s">
        <v>1435</v>
      </c>
      <c r="E12" s="26" t="s">
        <v>1428</v>
      </c>
      <c r="F12" s="26" t="s">
        <v>1426</v>
      </c>
      <c r="G12" s="33" t="s">
        <v>1446</v>
      </c>
      <c r="H12" s="7" t="s">
        <v>1458</v>
      </c>
      <c r="I12" s="9" t="s">
        <v>1471</v>
      </c>
      <c r="J12" s="33" t="s">
        <v>3319</v>
      </c>
      <c r="K12" s="33"/>
      <c r="L12" s="8"/>
    </row>
    <row r="13" spans="1:12" x14ac:dyDescent="0.35">
      <c r="A13" s="8"/>
      <c r="B13" s="26">
        <v>100</v>
      </c>
      <c r="C13" s="26">
        <v>10601009</v>
      </c>
      <c r="D13" s="39" t="s">
        <v>2778</v>
      </c>
      <c r="E13" s="26" t="s">
        <v>1428</v>
      </c>
      <c r="F13" s="26" t="s">
        <v>1426</v>
      </c>
      <c r="G13" s="33" t="s">
        <v>1446</v>
      </c>
      <c r="H13" s="7" t="s">
        <v>1458</v>
      </c>
      <c r="I13" s="9" t="s">
        <v>2779</v>
      </c>
      <c r="J13" s="33" t="s">
        <v>3319</v>
      </c>
      <c r="K13" s="33"/>
      <c r="L13" s="8"/>
    </row>
    <row r="14" spans="1:12" x14ac:dyDescent="0.35">
      <c r="A14" s="8"/>
      <c r="B14" s="26">
        <v>100</v>
      </c>
      <c r="C14" s="26">
        <v>10601010</v>
      </c>
      <c r="D14" s="7" t="s">
        <v>1436</v>
      </c>
      <c r="E14" s="26" t="s">
        <v>1428</v>
      </c>
      <c r="F14" s="26" t="s">
        <v>1426</v>
      </c>
      <c r="G14" s="33" t="s">
        <v>1448</v>
      </c>
      <c r="H14" s="7" t="s">
        <v>1459</v>
      </c>
      <c r="I14" s="9" t="s">
        <v>1472</v>
      </c>
      <c r="J14" s="33" t="s">
        <v>2780</v>
      </c>
      <c r="K14" s="33"/>
      <c r="L14" s="8"/>
    </row>
    <row r="15" spans="1:12" x14ac:dyDescent="0.35">
      <c r="A15" s="8"/>
      <c r="B15" s="26">
        <v>100</v>
      </c>
      <c r="C15" s="7">
        <v>10602001</v>
      </c>
      <c r="D15" s="7" t="s">
        <v>1437</v>
      </c>
      <c r="E15" s="7" t="s">
        <v>1441</v>
      </c>
      <c r="F15" s="26" t="s">
        <v>1426</v>
      </c>
      <c r="G15" s="33" t="s">
        <v>1449</v>
      </c>
      <c r="H15" s="7" t="s">
        <v>1019</v>
      </c>
      <c r="I15" s="9" t="s">
        <v>1473</v>
      </c>
      <c r="J15" s="33" t="s">
        <v>1491</v>
      </c>
      <c r="K15" s="33" t="s">
        <v>1836</v>
      </c>
      <c r="L15" s="8"/>
    </row>
    <row r="16" spans="1:12" x14ac:dyDescent="0.35">
      <c r="A16" s="8"/>
      <c r="B16" s="26">
        <v>100</v>
      </c>
      <c r="C16" s="7">
        <v>10602002</v>
      </c>
      <c r="D16" s="26" t="s">
        <v>1438</v>
      </c>
      <c r="E16" s="7" t="s">
        <v>1441</v>
      </c>
      <c r="F16" s="26" t="s">
        <v>1426</v>
      </c>
      <c r="G16" s="33" t="s">
        <v>1447</v>
      </c>
      <c r="H16" s="7" t="s">
        <v>1460</v>
      </c>
      <c r="I16" s="9" t="s">
        <v>1474</v>
      </c>
      <c r="J16" s="33" t="s">
        <v>1492</v>
      </c>
      <c r="K16" s="33" t="s">
        <v>1837</v>
      </c>
      <c r="L16" s="8"/>
    </row>
    <row r="17" spans="1:12" x14ac:dyDescent="0.35">
      <c r="A17" s="8"/>
      <c r="B17" s="26">
        <v>100</v>
      </c>
      <c r="C17" s="7">
        <v>10602003</v>
      </c>
      <c r="D17" s="26" t="s">
        <v>1439</v>
      </c>
      <c r="E17" s="7" t="s">
        <v>1441</v>
      </c>
      <c r="F17" s="26" t="s">
        <v>1426</v>
      </c>
      <c r="G17" s="33" t="s">
        <v>1447</v>
      </c>
      <c r="H17" s="7" t="s">
        <v>1475</v>
      </c>
      <c r="I17" s="9" t="s">
        <v>1476</v>
      </c>
      <c r="J17" s="33" t="s">
        <v>1492</v>
      </c>
      <c r="K17" s="33" t="s">
        <v>1838</v>
      </c>
      <c r="L17" s="8"/>
    </row>
    <row r="18" spans="1:12" x14ac:dyDescent="0.35">
      <c r="A18" s="8"/>
      <c r="B18" s="26">
        <v>100</v>
      </c>
      <c r="C18" s="7">
        <v>10602004</v>
      </c>
      <c r="D18" s="26" t="s">
        <v>1440</v>
      </c>
      <c r="E18" s="7" t="s">
        <v>1441</v>
      </c>
      <c r="F18" s="26" t="s">
        <v>1426</v>
      </c>
      <c r="G18" s="33" t="s">
        <v>1450</v>
      </c>
      <c r="H18" s="7" t="s">
        <v>1461</v>
      </c>
      <c r="I18" s="9" t="s">
        <v>1477</v>
      </c>
      <c r="J18" s="33" t="s">
        <v>1492</v>
      </c>
      <c r="K18" s="33" t="s">
        <v>1839</v>
      </c>
      <c r="L18" s="8"/>
    </row>
    <row r="19" spans="1:12" x14ac:dyDescent="0.35">
      <c r="A19" s="8"/>
      <c r="B19" s="26">
        <v>100</v>
      </c>
      <c r="C19" s="7">
        <v>10602005</v>
      </c>
      <c r="D19" s="7" t="s">
        <v>2595</v>
      </c>
      <c r="E19" s="7" t="s">
        <v>1441</v>
      </c>
      <c r="F19" s="26" t="s">
        <v>1426</v>
      </c>
      <c r="G19" s="33" t="s">
        <v>1447</v>
      </c>
      <c r="H19" s="7" t="s">
        <v>2603</v>
      </c>
      <c r="I19" s="9" t="s">
        <v>2616</v>
      </c>
      <c r="J19" s="34" t="s">
        <v>2614</v>
      </c>
      <c r="K19" s="34" t="s">
        <v>2615</v>
      </c>
      <c r="L19" s="8"/>
    </row>
    <row r="20" spans="1:12" x14ac:dyDescent="0.35">
      <c r="A20" s="8"/>
      <c r="B20" s="26">
        <v>100</v>
      </c>
      <c r="C20" s="7">
        <v>10602006</v>
      </c>
      <c r="D20" s="7" t="s">
        <v>2594</v>
      </c>
      <c r="E20" s="7" t="s">
        <v>1441</v>
      </c>
      <c r="F20" s="26" t="s">
        <v>1426</v>
      </c>
      <c r="G20" s="33" t="s">
        <v>1447</v>
      </c>
      <c r="H20" s="7" t="s">
        <v>2604</v>
      </c>
      <c r="I20" s="9" t="s">
        <v>2617</v>
      </c>
      <c r="J20" s="34" t="s">
        <v>2614</v>
      </c>
      <c r="K20" s="34" t="s">
        <v>1836</v>
      </c>
      <c r="L20" s="8"/>
    </row>
    <row r="21" spans="1:12" x14ac:dyDescent="0.35">
      <c r="A21" s="8"/>
      <c r="B21" s="26">
        <v>100</v>
      </c>
      <c r="C21" s="7">
        <v>10602007</v>
      </c>
      <c r="D21" s="7" t="s">
        <v>2596</v>
      </c>
      <c r="E21" s="7" t="s">
        <v>1441</v>
      </c>
      <c r="F21" s="26" t="s">
        <v>1426</v>
      </c>
      <c r="G21" s="33" t="s">
        <v>1447</v>
      </c>
      <c r="H21" s="7" t="s">
        <v>2605</v>
      </c>
      <c r="I21" s="9" t="s">
        <v>2618</v>
      </c>
      <c r="J21" s="34" t="s">
        <v>2614</v>
      </c>
      <c r="K21" s="34" t="s">
        <v>2615</v>
      </c>
      <c r="L21" s="8"/>
    </row>
    <row r="22" spans="1:12" x14ac:dyDescent="0.35">
      <c r="A22" s="8"/>
      <c r="B22" s="26">
        <v>100</v>
      </c>
      <c r="C22" s="7">
        <v>10602008</v>
      </c>
      <c r="D22" s="7" t="s">
        <v>2509</v>
      </c>
      <c r="E22" s="7" t="s">
        <v>1441</v>
      </c>
      <c r="F22" s="26" t="s">
        <v>1426</v>
      </c>
      <c r="G22" s="33" t="s">
        <v>1447</v>
      </c>
      <c r="H22" s="7" t="s">
        <v>2606</v>
      </c>
      <c r="I22" s="9" t="s">
        <v>2619</v>
      </c>
      <c r="J22" s="34" t="s">
        <v>2614</v>
      </c>
      <c r="K22" s="34" t="s">
        <v>1838</v>
      </c>
      <c r="L22" s="8"/>
    </row>
    <row r="23" spans="1:12" x14ac:dyDescent="0.35">
      <c r="A23" s="8"/>
      <c r="B23" s="26">
        <v>100</v>
      </c>
      <c r="C23" s="7">
        <v>10602009</v>
      </c>
      <c r="D23" s="7" t="s">
        <v>3209</v>
      </c>
      <c r="E23" s="7" t="s">
        <v>1441</v>
      </c>
      <c r="F23" s="39" t="s">
        <v>1426</v>
      </c>
      <c r="G23" s="33" t="s">
        <v>1447</v>
      </c>
      <c r="H23" s="7" t="s">
        <v>3210</v>
      </c>
      <c r="I23" s="9" t="s">
        <v>3211</v>
      </c>
      <c r="J23" s="34" t="s">
        <v>2614</v>
      </c>
      <c r="K23" s="33" t="s">
        <v>1839</v>
      </c>
      <c r="L23" s="8"/>
    </row>
    <row r="24" spans="1:12" x14ac:dyDescent="0.35">
      <c r="A24" s="8"/>
      <c r="B24" s="26">
        <v>100</v>
      </c>
      <c r="C24" s="7">
        <v>10602010</v>
      </c>
      <c r="D24" s="7" t="s">
        <v>2597</v>
      </c>
      <c r="E24" s="7" t="s">
        <v>1441</v>
      </c>
      <c r="F24" s="26" t="s">
        <v>1426</v>
      </c>
      <c r="G24" s="33" t="s">
        <v>1447</v>
      </c>
      <c r="H24" s="7" t="s">
        <v>2607</v>
      </c>
      <c r="I24" s="9" t="s">
        <v>2620</v>
      </c>
      <c r="J24" s="34" t="s">
        <v>2614</v>
      </c>
      <c r="K24" s="34" t="s">
        <v>1836</v>
      </c>
      <c r="L24" s="8"/>
    </row>
    <row r="25" spans="1:12" x14ac:dyDescent="0.35">
      <c r="A25" s="8"/>
      <c r="B25" s="26">
        <v>100</v>
      </c>
      <c r="C25" s="7">
        <v>10602011</v>
      </c>
      <c r="D25" s="7" t="s">
        <v>2599</v>
      </c>
      <c r="E25" s="7" t="s">
        <v>1441</v>
      </c>
      <c r="F25" s="26" t="s">
        <v>1426</v>
      </c>
      <c r="G25" s="33" t="s">
        <v>1447</v>
      </c>
      <c r="H25" s="7" t="s">
        <v>2609</v>
      </c>
      <c r="I25" s="9" t="s">
        <v>2621</v>
      </c>
      <c r="J25" s="34" t="s">
        <v>2614</v>
      </c>
      <c r="K25" s="34" t="s">
        <v>1836</v>
      </c>
      <c r="L25" s="8"/>
    </row>
    <row r="26" spans="1:12" x14ac:dyDescent="0.35">
      <c r="A26" s="8"/>
      <c r="B26" s="26">
        <v>100</v>
      </c>
      <c r="C26" s="7">
        <v>10602012</v>
      </c>
      <c r="D26" s="7" t="s">
        <v>2600</v>
      </c>
      <c r="E26" s="7" t="s">
        <v>1441</v>
      </c>
      <c r="F26" s="26" t="s">
        <v>1426</v>
      </c>
      <c r="G26" s="33" t="s">
        <v>1447</v>
      </c>
      <c r="H26" s="7" t="s">
        <v>2610</v>
      </c>
      <c r="I26" s="9" t="s">
        <v>2622</v>
      </c>
      <c r="J26" s="34" t="s">
        <v>2614</v>
      </c>
      <c r="K26" s="34" t="s">
        <v>1836</v>
      </c>
      <c r="L26" s="8"/>
    </row>
    <row r="27" spans="1:12" x14ac:dyDescent="0.35">
      <c r="A27" s="8"/>
      <c r="B27" s="26">
        <v>100</v>
      </c>
      <c r="C27" s="7">
        <v>10602013</v>
      </c>
      <c r="D27" s="7" t="s">
        <v>2601</v>
      </c>
      <c r="E27" s="7" t="s">
        <v>1441</v>
      </c>
      <c r="F27" s="26" t="s">
        <v>1426</v>
      </c>
      <c r="G27" s="33" t="s">
        <v>1447</v>
      </c>
      <c r="H27" s="7" t="s">
        <v>2611</v>
      </c>
      <c r="I27" s="9" t="s">
        <v>2623</v>
      </c>
      <c r="J27" s="34" t="s">
        <v>2614</v>
      </c>
      <c r="K27" s="34" t="s">
        <v>1836</v>
      </c>
      <c r="L27" s="8"/>
    </row>
    <row r="28" spans="1:12" x14ac:dyDescent="0.35">
      <c r="A28" s="8"/>
      <c r="B28" s="26">
        <v>100</v>
      </c>
      <c r="C28" s="7">
        <v>10602014</v>
      </c>
      <c r="D28" s="7" t="s">
        <v>2602</v>
      </c>
      <c r="E28" s="7" t="s">
        <v>1441</v>
      </c>
      <c r="F28" s="26" t="s">
        <v>1426</v>
      </c>
      <c r="G28" s="33" t="s">
        <v>1447</v>
      </c>
      <c r="H28" s="7" t="s">
        <v>2612</v>
      </c>
      <c r="I28" s="9" t="s">
        <v>2624</v>
      </c>
      <c r="J28" s="34" t="s">
        <v>2614</v>
      </c>
      <c r="K28" s="34" t="s">
        <v>2615</v>
      </c>
      <c r="L28" s="8"/>
    </row>
    <row r="29" spans="1:12" x14ac:dyDescent="0.35">
      <c r="A29" s="8"/>
      <c r="B29" s="26">
        <v>100</v>
      </c>
      <c r="C29" s="7">
        <v>10603001</v>
      </c>
      <c r="D29" s="26" t="s">
        <v>1442</v>
      </c>
      <c r="E29" s="7" t="s">
        <v>1445</v>
      </c>
      <c r="F29" s="26" t="s">
        <v>1426</v>
      </c>
      <c r="G29" s="33" t="s">
        <v>1449</v>
      </c>
      <c r="H29" s="7" t="s">
        <v>1462</v>
      </c>
      <c r="I29" s="9" t="s">
        <v>1478</v>
      </c>
      <c r="J29" s="33" t="s">
        <v>1493</v>
      </c>
      <c r="K29" s="33" t="s">
        <v>1840</v>
      </c>
      <c r="L29" s="8"/>
    </row>
    <row r="30" spans="1:12" x14ac:dyDescent="0.35">
      <c r="A30" s="8"/>
      <c r="B30" s="26">
        <v>100</v>
      </c>
      <c r="C30" s="7">
        <v>10603002</v>
      </c>
      <c r="D30" s="26" t="s">
        <v>1443</v>
      </c>
      <c r="E30" s="7" t="s">
        <v>1445</v>
      </c>
      <c r="F30" s="26" t="s">
        <v>1426</v>
      </c>
      <c r="G30" s="33" t="s">
        <v>1451</v>
      </c>
      <c r="H30" s="7" t="s">
        <v>1463</v>
      </c>
      <c r="I30" s="9" t="s">
        <v>1479</v>
      </c>
      <c r="J30" s="33" t="s">
        <v>1494</v>
      </c>
      <c r="K30" s="33" t="s">
        <v>1841</v>
      </c>
      <c r="L30" s="8"/>
    </row>
    <row r="31" spans="1:12" x14ac:dyDescent="0.35">
      <c r="A31" s="8"/>
      <c r="B31" s="26">
        <v>100</v>
      </c>
      <c r="C31" s="7">
        <v>10603003</v>
      </c>
      <c r="D31" s="26" t="s">
        <v>1444</v>
      </c>
      <c r="E31" s="7" t="s">
        <v>1445</v>
      </c>
      <c r="F31" s="26" t="s">
        <v>1427</v>
      </c>
      <c r="G31" s="33"/>
      <c r="H31" s="7" t="s">
        <v>1464</v>
      </c>
      <c r="I31" s="9" t="s">
        <v>1480</v>
      </c>
      <c r="J31" s="33" t="s">
        <v>1495</v>
      </c>
      <c r="K31" s="33" t="s">
        <v>1842</v>
      </c>
      <c r="L31" s="8"/>
    </row>
    <row r="32" spans="1:12" x14ac:dyDescent="0.35">
      <c r="A32" s="8"/>
      <c r="B32" s="26">
        <v>100</v>
      </c>
      <c r="C32" s="7"/>
      <c r="D32" s="7"/>
      <c r="E32" s="7"/>
      <c r="F32" s="7"/>
      <c r="G32" s="34"/>
      <c r="H32" s="7"/>
      <c r="I32" s="9"/>
      <c r="J32" s="34"/>
      <c r="K32" s="34"/>
      <c r="L32" s="8"/>
    </row>
    <row r="33" spans="1:12" x14ac:dyDescent="0.35">
      <c r="A33" s="8"/>
      <c r="B33" s="26">
        <v>100</v>
      </c>
      <c r="C33" s="7"/>
      <c r="D33" s="7"/>
      <c r="E33" s="7"/>
      <c r="F33" s="7"/>
      <c r="G33" s="34"/>
      <c r="H33" s="7"/>
      <c r="I33" s="9"/>
      <c r="J33" s="34"/>
      <c r="K33" s="34"/>
      <c r="L33" s="8"/>
    </row>
    <row r="34" spans="1:12" x14ac:dyDescent="0.35">
      <c r="A34" s="8"/>
      <c r="B34" s="26">
        <v>100</v>
      </c>
      <c r="C34" s="7"/>
      <c r="D34" s="7"/>
      <c r="E34" s="7"/>
      <c r="F34" s="7"/>
      <c r="G34" s="34"/>
      <c r="H34" s="7"/>
      <c r="I34" s="9"/>
      <c r="J34" s="34"/>
      <c r="K34" s="34"/>
      <c r="L34" s="8"/>
    </row>
    <row r="35" spans="1:12" x14ac:dyDescent="0.35">
      <c r="A35" s="8"/>
      <c r="B35" s="26">
        <v>100</v>
      </c>
      <c r="C35" s="7"/>
      <c r="D35" s="7"/>
      <c r="E35" s="7"/>
      <c r="F35" s="7"/>
      <c r="G35" s="34"/>
      <c r="H35" s="7"/>
      <c r="I35" s="9"/>
      <c r="J35" s="34"/>
      <c r="K35" s="34"/>
      <c r="L35" s="8"/>
    </row>
    <row r="36" spans="1:12" x14ac:dyDescent="0.35">
      <c r="A36" s="8"/>
      <c r="B36" s="26">
        <v>100</v>
      </c>
      <c r="C36" s="7"/>
      <c r="D36" s="7"/>
      <c r="E36" s="7"/>
      <c r="F36" s="7"/>
      <c r="G36" s="34"/>
      <c r="H36" s="7"/>
      <c r="I36" s="9"/>
      <c r="J36" s="34"/>
      <c r="K36" s="34"/>
      <c r="L36" s="8"/>
    </row>
    <row r="37" spans="1:12" x14ac:dyDescent="0.35">
      <c r="A37" s="8"/>
      <c r="B37" s="26">
        <v>100</v>
      </c>
      <c r="C37" s="7"/>
      <c r="D37" s="7"/>
      <c r="E37" s="7"/>
      <c r="F37" s="7"/>
      <c r="G37" s="34"/>
      <c r="H37" s="7"/>
      <c r="I37" s="9"/>
      <c r="J37" s="34"/>
      <c r="K37" s="34"/>
      <c r="L37" s="8"/>
    </row>
    <row r="38" spans="1:12" x14ac:dyDescent="0.35">
      <c r="A38" s="8"/>
      <c r="B38" s="26">
        <v>100</v>
      </c>
      <c r="C38" s="7"/>
      <c r="D38" s="7"/>
      <c r="E38" s="7"/>
      <c r="F38" s="7"/>
      <c r="G38" s="34"/>
      <c r="H38" s="7"/>
      <c r="I38" s="9"/>
      <c r="J38" s="34"/>
      <c r="K38" s="34"/>
      <c r="L38" s="8"/>
    </row>
    <row r="39" spans="1:12" x14ac:dyDescent="0.35">
      <c r="A39" s="8"/>
      <c r="B39" s="26">
        <v>100</v>
      </c>
      <c r="C39" s="7"/>
      <c r="D39" s="7"/>
      <c r="E39" s="7"/>
      <c r="F39" s="7"/>
      <c r="G39" s="34"/>
      <c r="H39" s="7"/>
      <c r="I39" s="9"/>
      <c r="J39" s="34"/>
      <c r="K39" s="34"/>
      <c r="L39" s="8"/>
    </row>
    <row r="40" spans="1:12" x14ac:dyDescent="0.35">
      <c r="A40" s="8"/>
      <c r="B40" s="26">
        <v>100</v>
      </c>
      <c r="C40" s="7"/>
      <c r="D40" s="7"/>
      <c r="E40" s="7"/>
      <c r="F40" s="7"/>
      <c r="G40" s="34"/>
      <c r="H40" s="7"/>
      <c r="I40" s="9"/>
      <c r="J40" s="34"/>
      <c r="K40" s="34"/>
      <c r="L4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38D50-A059-453A-A267-45D6EDDCEA85}">
  <sheetPr codeName="Sheet27">
    <tabColor rgb="FFC00000"/>
  </sheetPr>
  <dimension ref="A1:H3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10" customWidth="1"/>
    <col min="7" max="7" width="35.625" style="10" customWidth="1"/>
    <col min="8" max="8" width="50.625" style="10" customWidth="1"/>
    <col min="9" max="16384" width="10.625" style="10"/>
  </cols>
  <sheetData>
    <row r="1" spans="1:8" x14ac:dyDescent="0.35">
      <c r="A1" s="11" t="s">
        <v>2701</v>
      </c>
      <c r="B1" s="4" t="s">
        <v>74</v>
      </c>
      <c r="C1" s="5" t="s">
        <v>38</v>
      </c>
      <c r="D1" s="5" t="s">
        <v>38</v>
      </c>
      <c r="E1" s="5" t="s">
        <v>38</v>
      </c>
      <c r="F1" s="5" t="s">
        <v>38</v>
      </c>
      <c r="G1" s="5" t="s">
        <v>1539</v>
      </c>
      <c r="H1" s="6" t="s">
        <v>74</v>
      </c>
    </row>
    <row r="2" spans="1:8" x14ac:dyDescent="0.35">
      <c r="A2" s="12" t="s">
        <v>6</v>
      </c>
      <c r="B2" s="1" t="s">
        <v>30</v>
      </c>
      <c r="C2" s="2" t="s">
        <v>33</v>
      </c>
      <c r="D2" s="2" t="s">
        <v>1540</v>
      </c>
      <c r="E2" s="2" t="s">
        <v>1541</v>
      </c>
      <c r="F2" s="2" t="s">
        <v>1542</v>
      </c>
      <c r="G2" s="2" t="s">
        <v>1543</v>
      </c>
      <c r="H2" s="3" t="s">
        <v>74</v>
      </c>
    </row>
    <row r="3" spans="1:8" x14ac:dyDescent="0.35">
      <c r="A3" s="24" t="s">
        <v>9</v>
      </c>
      <c r="B3" s="25" t="s">
        <v>31</v>
      </c>
      <c r="C3" s="26" t="s">
        <v>1544</v>
      </c>
      <c r="D3" s="26" t="s">
        <v>1545</v>
      </c>
      <c r="E3" s="26" t="s">
        <v>1546</v>
      </c>
      <c r="F3" s="26" t="s">
        <v>1547</v>
      </c>
      <c r="G3" s="26" t="s">
        <v>1548</v>
      </c>
      <c r="H3" s="25" t="s">
        <v>80</v>
      </c>
    </row>
    <row r="4" spans="1:8" x14ac:dyDescent="0.35">
      <c r="A4" s="27" t="s">
        <v>104</v>
      </c>
      <c r="B4" s="27"/>
      <c r="C4" s="27" t="s">
        <v>1549</v>
      </c>
      <c r="D4" s="27" t="s">
        <v>1550</v>
      </c>
      <c r="E4" s="27" t="s">
        <v>1826</v>
      </c>
      <c r="F4" s="27" t="s">
        <v>1551</v>
      </c>
      <c r="G4" s="30" t="s">
        <v>1552</v>
      </c>
      <c r="H4" s="27" t="s">
        <v>128</v>
      </c>
    </row>
    <row r="5" spans="1:8" x14ac:dyDescent="0.35">
      <c r="A5" s="28"/>
      <c r="B5" s="26">
        <v>100</v>
      </c>
      <c r="C5" s="26">
        <v>10701001</v>
      </c>
      <c r="D5" s="26">
        <v>1</v>
      </c>
      <c r="E5" s="26">
        <v>200</v>
      </c>
      <c r="F5" s="26">
        <v>12020101</v>
      </c>
      <c r="G5" s="33" t="s">
        <v>1593</v>
      </c>
      <c r="H5" s="28"/>
    </row>
    <row r="6" spans="1:8" x14ac:dyDescent="0.35">
      <c r="A6" s="28"/>
      <c r="B6" s="26">
        <v>100</v>
      </c>
      <c r="C6" s="26">
        <v>10701002</v>
      </c>
      <c r="D6" s="26">
        <v>1</v>
      </c>
      <c r="E6" s="26">
        <v>499</v>
      </c>
      <c r="F6" s="26">
        <v>12020102</v>
      </c>
      <c r="G6" s="33"/>
      <c r="H6" s="28"/>
    </row>
    <row r="7" spans="1:8" x14ac:dyDescent="0.35">
      <c r="A7" s="28"/>
      <c r="B7" s="26">
        <v>100</v>
      </c>
      <c r="C7" s="26">
        <v>10701003</v>
      </c>
      <c r="D7" s="26">
        <v>1</v>
      </c>
      <c r="E7" s="26">
        <v>600</v>
      </c>
      <c r="F7" s="26"/>
      <c r="G7" s="33"/>
      <c r="H7" s="28"/>
    </row>
    <row r="8" spans="1:8" x14ac:dyDescent="0.35">
      <c r="A8" s="28"/>
      <c r="B8" s="26">
        <v>100</v>
      </c>
      <c r="C8" s="26">
        <v>10701004</v>
      </c>
      <c r="D8" s="26">
        <v>1</v>
      </c>
      <c r="E8" s="26">
        <v>800</v>
      </c>
      <c r="F8" s="26">
        <v>12020103</v>
      </c>
      <c r="G8" s="33"/>
      <c r="H8" s="28"/>
    </row>
    <row r="9" spans="1:8" x14ac:dyDescent="0.35">
      <c r="A9" s="28"/>
      <c r="B9" s="26">
        <v>100</v>
      </c>
      <c r="C9" s="26">
        <v>10701005</v>
      </c>
      <c r="D9" s="26">
        <v>1</v>
      </c>
      <c r="E9" s="26">
        <v>1000</v>
      </c>
      <c r="F9" s="26">
        <v>12020104</v>
      </c>
      <c r="G9" s="33" t="s">
        <v>1672</v>
      </c>
      <c r="H9" s="28"/>
    </row>
    <row r="10" spans="1:8" x14ac:dyDescent="0.35">
      <c r="A10" s="28"/>
      <c r="B10" s="26">
        <v>100</v>
      </c>
      <c r="C10" s="26">
        <v>10702001</v>
      </c>
      <c r="D10" s="26">
        <v>2</v>
      </c>
      <c r="E10" s="26">
        <v>200</v>
      </c>
      <c r="F10" s="26">
        <v>12020201</v>
      </c>
      <c r="G10" s="33" t="s">
        <v>1594</v>
      </c>
      <c r="H10" s="28"/>
    </row>
    <row r="11" spans="1:8" x14ac:dyDescent="0.35">
      <c r="A11" s="8"/>
      <c r="B11" s="26">
        <v>100</v>
      </c>
      <c r="C11" s="26">
        <v>10702002</v>
      </c>
      <c r="D11" s="7">
        <v>2</v>
      </c>
      <c r="E11" s="26">
        <v>499</v>
      </c>
      <c r="F11" s="26">
        <v>12020202</v>
      </c>
      <c r="G11" s="34"/>
      <c r="H11" s="8"/>
    </row>
    <row r="12" spans="1:8" x14ac:dyDescent="0.35">
      <c r="A12" s="8"/>
      <c r="B12" s="26">
        <v>100</v>
      </c>
      <c r="C12" s="26">
        <v>10702003</v>
      </c>
      <c r="D12" s="7">
        <v>2</v>
      </c>
      <c r="E12" s="26">
        <v>600</v>
      </c>
      <c r="F12" s="7"/>
      <c r="G12" s="34"/>
      <c r="H12" s="8"/>
    </row>
    <row r="13" spans="1:8" x14ac:dyDescent="0.35">
      <c r="A13" s="8"/>
      <c r="B13" s="26">
        <v>100</v>
      </c>
      <c r="C13" s="26">
        <v>10702004</v>
      </c>
      <c r="D13" s="7">
        <v>2</v>
      </c>
      <c r="E13" s="26">
        <v>800</v>
      </c>
      <c r="F13" s="39">
        <v>12020203</v>
      </c>
      <c r="G13" s="34"/>
      <c r="H13" s="8"/>
    </row>
    <row r="14" spans="1:8" x14ac:dyDescent="0.35">
      <c r="A14" s="8"/>
      <c r="B14" s="26">
        <v>100</v>
      </c>
      <c r="C14" s="26">
        <v>10702005</v>
      </c>
      <c r="D14" s="7">
        <v>2</v>
      </c>
      <c r="E14" s="26">
        <v>1000</v>
      </c>
      <c r="F14" s="26">
        <v>12020204</v>
      </c>
      <c r="G14" s="34" t="s">
        <v>1673</v>
      </c>
      <c r="H14" s="8"/>
    </row>
    <row r="15" spans="1:8" x14ac:dyDescent="0.35">
      <c r="A15" s="8"/>
      <c r="B15" s="26">
        <v>100</v>
      </c>
      <c r="C15" s="7">
        <v>10703001</v>
      </c>
      <c r="D15" s="7">
        <v>3</v>
      </c>
      <c r="E15" s="26">
        <v>200</v>
      </c>
      <c r="F15" s="7">
        <v>12020301</v>
      </c>
      <c r="G15" s="34" t="s">
        <v>1595</v>
      </c>
      <c r="H15" s="8"/>
    </row>
    <row r="16" spans="1:8" x14ac:dyDescent="0.35">
      <c r="A16" s="8"/>
      <c r="B16" s="26">
        <v>100</v>
      </c>
      <c r="C16" s="7">
        <v>10703002</v>
      </c>
      <c r="D16" s="7">
        <v>3</v>
      </c>
      <c r="E16" s="26">
        <v>499</v>
      </c>
      <c r="F16" s="7">
        <v>12020302</v>
      </c>
      <c r="G16" s="34"/>
      <c r="H16" s="8"/>
    </row>
    <row r="17" spans="1:8" x14ac:dyDescent="0.35">
      <c r="A17" s="8"/>
      <c r="B17" s="26">
        <v>100</v>
      </c>
      <c r="C17" s="7">
        <v>10703003</v>
      </c>
      <c r="D17" s="7">
        <v>3</v>
      </c>
      <c r="E17" s="26">
        <v>600</v>
      </c>
      <c r="F17" s="7"/>
      <c r="G17" s="34"/>
      <c r="H17" s="8"/>
    </row>
    <row r="18" spans="1:8" x14ac:dyDescent="0.35">
      <c r="A18" s="8"/>
      <c r="B18" s="26">
        <v>100</v>
      </c>
      <c r="C18" s="7">
        <v>10703004</v>
      </c>
      <c r="D18" s="7">
        <v>3</v>
      </c>
      <c r="E18" s="26">
        <v>800</v>
      </c>
      <c r="F18" s="7">
        <v>12020303</v>
      </c>
      <c r="G18" s="34"/>
      <c r="H18" s="8"/>
    </row>
    <row r="19" spans="1:8" x14ac:dyDescent="0.35">
      <c r="A19" s="8"/>
      <c r="B19" s="26">
        <v>100</v>
      </c>
      <c r="C19" s="7">
        <v>10703005</v>
      </c>
      <c r="D19" s="7">
        <v>3</v>
      </c>
      <c r="E19" s="26">
        <v>1000</v>
      </c>
      <c r="F19" s="7">
        <v>12020304</v>
      </c>
      <c r="G19" s="34" t="s">
        <v>1674</v>
      </c>
      <c r="H19" s="8"/>
    </row>
    <row r="20" spans="1:8" x14ac:dyDescent="0.35">
      <c r="A20" s="8"/>
      <c r="B20" s="26">
        <v>100</v>
      </c>
      <c r="C20" s="7">
        <v>10704001</v>
      </c>
      <c r="D20" s="7">
        <v>4</v>
      </c>
      <c r="E20" s="26">
        <v>200</v>
      </c>
      <c r="F20" s="7">
        <v>12020401</v>
      </c>
      <c r="G20" s="34" t="s">
        <v>1596</v>
      </c>
      <c r="H20" s="8"/>
    </row>
    <row r="21" spans="1:8" x14ac:dyDescent="0.35">
      <c r="A21" s="8"/>
      <c r="B21" s="26">
        <v>100</v>
      </c>
      <c r="C21" s="7">
        <v>10704002</v>
      </c>
      <c r="D21" s="7">
        <v>4</v>
      </c>
      <c r="E21" s="26">
        <v>499</v>
      </c>
      <c r="F21" s="7">
        <v>12020402</v>
      </c>
      <c r="G21" s="34"/>
      <c r="H21" s="8"/>
    </row>
    <row r="22" spans="1:8" x14ac:dyDescent="0.35">
      <c r="A22" s="8"/>
      <c r="B22" s="26">
        <v>100</v>
      </c>
      <c r="C22" s="7">
        <v>10704003</v>
      </c>
      <c r="D22" s="7">
        <v>4</v>
      </c>
      <c r="E22" s="26">
        <v>600</v>
      </c>
      <c r="F22" s="7"/>
      <c r="G22" s="34"/>
      <c r="H22" s="8"/>
    </row>
    <row r="23" spans="1:8" x14ac:dyDescent="0.35">
      <c r="A23" s="8"/>
      <c r="B23" s="26">
        <v>100</v>
      </c>
      <c r="C23" s="7">
        <v>10704004</v>
      </c>
      <c r="D23" s="7">
        <v>4</v>
      </c>
      <c r="E23" s="26">
        <v>800</v>
      </c>
      <c r="F23" s="7">
        <v>12020403</v>
      </c>
      <c r="G23" s="34"/>
      <c r="H23" s="8"/>
    </row>
    <row r="24" spans="1:8" x14ac:dyDescent="0.35">
      <c r="A24" s="8"/>
      <c r="B24" s="26">
        <v>100</v>
      </c>
      <c r="C24" s="7">
        <v>10704005</v>
      </c>
      <c r="D24" s="7">
        <v>4</v>
      </c>
      <c r="E24" s="26">
        <v>1000</v>
      </c>
      <c r="F24" s="7">
        <v>12020404</v>
      </c>
      <c r="G24" s="34" t="s">
        <v>1675</v>
      </c>
      <c r="H24" s="8"/>
    </row>
    <row r="25" spans="1:8" x14ac:dyDescent="0.35">
      <c r="A25" s="8"/>
      <c r="B25" s="7">
        <v>100</v>
      </c>
      <c r="C25" s="7">
        <v>10711001</v>
      </c>
      <c r="D25" s="7">
        <v>9</v>
      </c>
      <c r="E25" s="7">
        <v>500</v>
      </c>
      <c r="F25" s="7">
        <v>12020901</v>
      </c>
      <c r="G25" s="34" t="s">
        <v>2797</v>
      </c>
      <c r="H25" s="8"/>
    </row>
    <row r="26" spans="1:8" x14ac:dyDescent="0.35">
      <c r="A26" s="8"/>
      <c r="B26" s="7">
        <v>100</v>
      </c>
      <c r="C26" s="7">
        <v>10711002</v>
      </c>
      <c r="D26" s="7">
        <v>9</v>
      </c>
      <c r="E26" s="7">
        <v>1500</v>
      </c>
      <c r="F26" s="7"/>
      <c r="G26" s="34"/>
      <c r="H26" s="8"/>
    </row>
    <row r="27" spans="1:8" x14ac:dyDescent="0.35">
      <c r="A27" s="8"/>
      <c r="B27" s="7">
        <v>100</v>
      </c>
      <c r="C27" s="7">
        <v>10711003</v>
      </c>
      <c r="D27" s="7">
        <v>9</v>
      </c>
      <c r="E27" s="7">
        <v>1999</v>
      </c>
      <c r="F27" s="7">
        <v>12020902</v>
      </c>
      <c r="G27" s="34"/>
      <c r="H27" s="8"/>
    </row>
    <row r="28" spans="1:8" x14ac:dyDescent="0.35">
      <c r="A28" s="8"/>
      <c r="B28" s="7">
        <v>100</v>
      </c>
      <c r="C28" s="7">
        <v>10711004</v>
      </c>
      <c r="D28" s="7">
        <v>9</v>
      </c>
      <c r="E28" s="7">
        <v>2000</v>
      </c>
      <c r="F28" s="7">
        <v>12020903</v>
      </c>
      <c r="G28" s="34" t="s">
        <v>2798</v>
      </c>
      <c r="H28" s="8"/>
    </row>
    <row r="29" spans="1:8" x14ac:dyDescent="0.35">
      <c r="A29" s="8"/>
      <c r="B29" s="7"/>
      <c r="C29" s="7"/>
      <c r="D29" s="7"/>
      <c r="E29" s="7"/>
      <c r="F29" s="7"/>
      <c r="G29" s="34"/>
      <c r="H29" s="8"/>
    </row>
    <row r="30" spans="1:8" x14ac:dyDescent="0.35">
      <c r="A30" s="8"/>
      <c r="B30" s="7"/>
      <c r="C30" s="7"/>
      <c r="D30" s="7"/>
      <c r="E30" s="7"/>
      <c r="F30" s="7"/>
      <c r="G30" s="34"/>
      <c r="H3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94B-C8E5-4A5D-B0FB-FD68510E4DF3}">
  <sheetPr codeName="Sheet17">
    <tabColor rgb="FFC00000"/>
  </sheetPr>
  <dimension ref="A1:N11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8" width="15.625" style="10" customWidth="1"/>
    <col min="9" max="12" width="25.625" style="10" customWidth="1"/>
    <col min="13" max="13" width="20.625" style="10" customWidth="1"/>
    <col min="14" max="14" width="50.625" style="10" customWidth="1"/>
    <col min="15" max="16384" width="10.625" style="10"/>
  </cols>
  <sheetData>
    <row r="1" spans="1:14" x14ac:dyDescent="0.35">
      <c r="A1" s="11" t="s">
        <v>3</v>
      </c>
      <c r="B1" s="4" t="s">
        <v>74</v>
      </c>
      <c r="C1" s="5" t="s">
        <v>38</v>
      </c>
      <c r="D1" s="5" t="s">
        <v>38</v>
      </c>
      <c r="E1" s="5" t="s">
        <v>38</v>
      </c>
      <c r="F1" s="5" t="s">
        <v>43</v>
      </c>
      <c r="G1" s="5" t="s">
        <v>38</v>
      </c>
      <c r="H1" s="5" t="s">
        <v>38</v>
      </c>
      <c r="I1" s="5" t="s">
        <v>366</v>
      </c>
      <c r="J1" s="5" t="s">
        <v>366</v>
      </c>
      <c r="K1" s="5" t="s">
        <v>339</v>
      </c>
      <c r="L1" s="5" t="s">
        <v>343</v>
      </c>
      <c r="M1" s="42" t="s">
        <v>49</v>
      </c>
      <c r="N1" s="6" t="s">
        <v>74</v>
      </c>
    </row>
    <row r="2" spans="1:14" x14ac:dyDescent="0.35">
      <c r="A2" s="12" t="s">
        <v>6</v>
      </c>
      <c r="B2" s="1" t="s">
        <v>30</v>
      </c>
      <c r="C2" s="2" t="s">
        <v>33</v>
      </c>
      <c r="D2" s="2" t="s">
        <v>70</v>
      </c>
      <c r="E2" s="2" t="s">
        <v>367</v>
      </c>
      <c r="F2" s="2" t="s">
        <v>372</v>
      </c>
      <c r="G2" s="2" t="s">
        <v>368</v>
      </c>
      <c r="H2" s="2" t="s">
        <v>369</v>
      </c>
      <c r="I2" s="2" t="s">
        <v>370</v>
      </c>
      <c r="J2" s="2" t="s">
        <v>371</v>
      </c>
      <c r="K2" s="2" t="s">
        <v>340</v>
      </c>
      <c r="L2" s="2" t="s">
        <v>344</v>
      </c>
      <c r="M2" s="43" t="s">
        <v>266</v>
      </c>
      <c r="N2" s="3" t="s">
        <v>74</v>
      </c>
    </row>
    <row r="3" spans="1:14" x14ac:dyDescent="0.35">
      <c r="A3" s="24" t="s">
        <v>9</v>
      </c>
      <c r="B3" s="25" t="s">
        <v>31</v>
      </c>
      <c r="C3" s="26" t="s">
        <v>373</v>
      </c>
      <c r="D3" s="26" t="s">
        <v>317</v>
      </c>
      <c r="E3" s="26" t="s">
        <v>374</v>
      </c>
      <c r="F3" s="26" t="s">
        <v>379</v>
      </c>
      <c r="G3" s="26" t="s">
        <v>375</v>
      </c>
      <c r="H3" s="26" t="s">
        <v>376</v>
      </c>
      <c r="I3" s="26" t="s">
        <v>377</v>
      </c>
      <c r="J3" s="26" t="s">
        <v>378</v>
      </c>
      <c r="K3" s="26" t="s">
        <v>341</v>
      </c>
      <c r="L3" s="26" t="s">
        <v>345</v>
      </c>
      <c r="M3" s="26" t="s">
        <v>1623</v>
      </c>
      <c r="N3" s="25" t="s">
        <v>80</v>
      </c>
    </row>
    <row r="4" spans="1:14" x14ac:dyDescent="0.35">
      <c r="A4" s="27" t="s">
        <v>104</v>
      </c>
      <c r="B4" s="27"/>
      <c r="C4" s="27" t="s">
        <v>380</v>
      </c>
      <c r="D4" s="27" t="s">
        <v>1519</v>
      </c>
      <c r="E4" s="27" t="s">
        <v>1520</v>
      </c>
      <c r="F4" s="27" t="s">
        <v>385</v>
      </c>
      <c r="G4" s="27" t="s">
        <v>381</v>
      </c>
      <c r="H4" s="27" t="s">
        <v>382</v>
      </c>
      <c r="I4" s="30" t="s">
        <v>383</v>
      </c>
      <c r="J4" s="30" t="s">
        <v>384</v>
      </c>
      <c r="K4" s="30" t="s">
        <v>386</v>
      </c>
      <c r="L4" s="30" t="s">
        <v>387</v>
      </c>
      <c r="M4" s="30" t="s">
        <v>1898</v>
      </c>
      <c r="N4" s="27" t="s">
        <v>128</v>
      </c>
    </row>
    <row r="5" spans="1:14" x14ac:dyDescent="0.35">
      <c r="A5" s="28"/>
      <c r="B5" s="26">
        <v>100</v>
      </c>
      <c r="C5" s="26">
        <v>11001001</v>
      </c>
      <c r="D5" s="26">
        <v>1</v>
      </c>
      <c r="E5" s="26">
        <v>1</v>
      </c>
      <c r="F5" s="26"/>
      <c r="G5" s="26">
        <v>100</v>
      </c>
      <c r="H5" s="26">
        <v>0</v>
      </c>
      <c r="I5" s="33"/>
      <c r="J5" s="33"/>
      <c r="K5" s="33"/>
      <c r="L5" s="33"/>
      <c r="M5" s="33"/>
      <c r="N5" s="28"/>
    </row>
    <row r="6" spans="1:14" x14ac:dyDescent="0.35">
      <c r="A6" s="28"/>
      <c r="B6" s="26">
        <v>100</v>
      </c>
      <c r="C6" s="26">
        <v>11000002</v>
      </c>
      <c r="D6" s="26">
        <v>1</v>
      </c>
      <c r="E6" s="26">
        <v>2</v>
      </c>
      <c r="F6" s="26"/>
      <c r="G6" s="26">
        <v>200</v>
      </c>
      <c r="H6" s="26">
        <v>0</v>
      </c>
      <c r="I6" s="33"/>
      <c r="J6" s="33"/>
      <c r="K6" s="33"/>
      <c r="L6" s="33"/>
      <c r="M6" s="33"/>
      <c r="N6" s="28"/>
    </row>
    <row r="7" spans="1:14" x14ac:dyDescent="0.35">
      <c r="A7" s="28"/>
      <c r="B7" s="26">
        <v>100</v>
      </c>
      <c r="C7" s="26">
        <v>11000003</v>
      </c>
      <c r="D7" s="26">
        <v>1</v>
      </c>
      <c r="E7" s="26">
        <v>3</v>
      </c>
      <c r="F7" s="26"/>
      <c r="G7" s="26">
        <v>400</v>
      </c>
      <c r="H7" s="26">
        <v>0</v>
      </c>
      <c r="I7" s="33"/>
      <c r="J7" s="33"/>
      <c r="K7" s="33"/>
      <c r="L7" s="33"/>
      <c r="M7" s="33"/>
      <c r="N7" s="28"/>
    </row>
    <row r="8" spans="1:14" x14ac:dyDescent="0.35">
      <c r="A8" s="28"/>
      <c r="B8" s="26">
        <v>100</v>
      </c>
      <c r="C8" s="26">
        <v>11000004</v>
      </c>
      <c r="D8" s="26">
        <v>1</v>
      </c>
      <c r="E8" s="26">
        <v>4</v>
      </c>
      <c r="F8" s="26"/>
      <c r="G8" s="26">
        <v>800</v>
      </c>
      <c r="H8" s="26">
        <v>0</v>
      </c>
      <c r="I8" s="33"/>
      <c r="J8" s="33"/>
      <c r="K8" s="33"/>
      <c r="L8" s="33"/>
      <c r="M8" s="33"/>
      <c r="N8" s="28"/>
    </row>
    <row r="9" spans="1:14" x14ac:dyDescent="0.35">
      <c r="A9" s="28"/>
      <c r="B9" s="26">
        <v>100</v>
      </c>
      <c r="C9" s="26">
        <v>11000005</v>
      </c>
      <c r="D9" s="26">
        <v>1</v>
      </c>
      <c r="E9" s="26">
        <v>5</v>
      </c>
      <c r="F9" s="26"/>
      <c r="G9" s="26">
        <v>1500</v>
      </c>
      <c r="H9" s="26">
        <v>0</v>
      </c>
      <c r="I9" s="33"/>
      <c r="J9" s="33" t="s">
        <v>1907</v>
      </c>
      <c r="K9" s="33"/>
      <c r="L9" s="33"/>
      <c r="M9" s="33"/>
      <c r="N9" s="28"/>
    </row>
    <row r="10" spans="1:14" x14ac:dyDescent="0.35">
      <c r="A10" s="28"/>
      <c r="B10" s="26">
        <v>100</v>
      </c>
      <c r="C10" s="26">
        <v>11000006</v>
      </c>
      <c r="D10" s="26">
        <v>1</v>
      </c>
      <c r="E10" s="26">
        <v>6</v>
      </c>
      <c r="F10" s="26"/>
      <c r="G10" s="26">
        <v>2800</v>
      </c>
      <c r="H10" s="26">
        <v>0</v>
      </c>
      <c r="I10" s="33"/>
      <c r="J10" s="33"/>
      <c r="K10" s="33"/>
      <c r="L10" s="33"/>
      <c r="M10" s="33"/>
      <c r="N10" s="28"/>
    </row>
    <row r="11" spans="1:14" x14ac:dyDescent="0.35">
      <c r="A11" s="8"/>
      <c r="B11" s="26">
        <v>100</v>
      </c>
      <c r="C11" s="26">
        <v>11000007</v>
      </c>
      <c r="D11" s="26">
        <v>1</v>
      </c>
      <c r="E11" s="26">
        <v>7</v>
      </c>
      <c r="F11" s="26"/>
      <c r="G11" s="7">
        <v>4500</v>
      </c>
      <c r="H11" s="26">
        <v>0</v>
      </c>
      <c r="I11" s="34"/>
      <c r="J11" s="33"/>
      <c r="K11" s="34"/>
      <c r="L11" s="34"/>
      <c r="M11" s="34"/>
      <c r="N11" s="8"/>
    </row>
    <row r="12" spans="1:14" x14ac:dyDescent="0.35">
      <c r="A12" s="8"/>
      <c r="B12" s="26">
        <v>100</v>
      </c>
      <c r="C12" s="26">
        <v>11000008</v>
      </c>
      <c r="D12" s="26">
        <v>1</v>
      </c>
      <c r="E12" s="26">
        <v>8</v>
      </c>
      <c r="F12" s="26"/>
      <c r="G12" s="7">
        <v>6500</v>
      </c>
      <c r="H12" s="26">
        <v>0</v>
      </c>
      <c r="I12" s="34"/>
      <c r="J12" s="33"/>
      <c r="K12" s="34"/>
      <c r="L12" s="34"/>
      <c r="M12" s="34"/>
      <c r="N12" s="8"/>
    </row>
    <row r="13" spans="1:14" x14ac:dyDescent="0.35">
      <c r="A13" s="8"/>
      <c r="B13" s="26">
        <v>100</v>
      </c>
      <c r="C13" s="26">
        <v>11000009</v>
      </c>
      <c r="D13" s="26">
        <v>1</v>
      </c>
      <c r="E13" s="26">
        <v>9</v>
      </c>
      <c r="F13" s="26"/>
      <c r="G13" s="7">
        <v>10000</v>
      </c>
      <c r="H13" s="26">
        <v>0</v>
      </c>
      <c r="I13" s="34"/>
      <c r="J13" s="33"/>
      <c r="K13" s="34"/>
      <c r="L13" s="34"/>
      <c r="M13" s="34"/>
      <c r="N13" s="8"/>
    </row>
    <row r="14" spans="1:14" x14ac:dyDescent="0.35">
      <c r="A14" s="8"/>
      <c r="B14" s="26">
        <v>100</v>
      </c>
      <c r="C14" s="26">
        <v>11000010</v>
      </c>
      <c r="D14" s="26">
        <v>1</v>
      </c>
      <c r="E14" s="26">
        <v>10</v>
      </c>
      <c r="F14" s="26" t="b">
        <v>1</v>
      </c>
      <c r="G14" s="7">
        <v>16000</v>
      </c>
      <c r="H14" s="26">
        <v>0</v>
      </c>
      <c r="I14" s="34"/>
      <c r="J14" s="33" t="s">
        <v>1907</v>
      </c>
      <c r="K14" s="34"/>
      <c r="L14" s="34"/>
      <c r="M14" s="34"/>
      <c r="N14" s="8"/>
    </row>
    <row r="15" spans="1:14" x14ac:dyDescent="0.35">
      <c r="A15" s="8"/>
      <c r="B15" s="26">
        <v>100</v>
      </c>
      <c r="C15" s="26">
        <v>11000011</v>
      </c>
      <c r="D15" s="26">
        <v>1</v>
      </c>
      <c r="E15" s="26">
        <v>11</v>
      </c>
      <c r="F15" s="26"/>
      <c r="G15" s="7">
        <v>24000</v>
      </c>
      <c r="H15" s="26">
        <v>0</v>
      </c>
      <c r="I15" s="34"/>
      <c r="J15" s="33"/>
      <c r="K15" s="34"/>
      <c r="L15" s="34"/>
      <c r="M15" s="34"/>
      <c r="N15" s="8"/>
    </row>
    <row r="16" spans="1:14" x14ac:dyDescent="0.35">
      <c r="A16" s="8"/>
      <c r="B16" s="26">
        <v>100</v>
      </c>
      <c r="C16" s="7">
        <v>11000012</v>
      </c>
      <c r="D16" s="26">
        <v>1</v>
      </c>
      <c r="E16" s="26">
        <v>12</v>
      </c>
      <c r="F16" s="26"/>
      <c r="G16" s="7">
        <v>36000</v>
      </c>
      <c r="H16" s="26">
        <v>0</v>
      </c>
      <c r="I16" s="34"/>
      <c r="J16" s="33"/>
      <c r="K16" s="34"/>
      <c r="L16" s="34"/>
      <c r="M16" s="34"/>
      <c r="N16" s="8"/>
    </row>
    <row r="17" spans="1:14" x14ac:dyDescent="0.35">
      <c r="A17" s="8"/>
      <c r="B17" s="26">
        <v>100</v>
      </c>
      <c r="C17" s="7">
        <v>11000013</v>
      </c>
      <c r="D17" s="26">
        <v>1</v>
      </c>
      <c r="E17" s="26">
        <v>13</v>
      </c>
      <c r="F17" s="26"/>
      <c r="G17" s="7">
        <v>50000</v>
      </c>
      <c r="H17" s="26">
        <v>0</v>
      </c>
      <c r="I17" s="34"/>
      <c r="J17" s="33"/>
      <c r="K17" s="34"/>
      <c r="L17" s="34"/>
      <c r="M17" s="34"/>
      <c r="N17" s="8"/>
    </row>
    <row r="18" spans="1:14" x14ac:dyDescent="0.35">
      <c r="A18" s="8"/>
      <c r="B18" s="26">
        <v>100</v>
      </c>
      <c r="C18" s="7">
        <v>11000014</v>
      </c>
      <c r="D18" s="26">
        <v>1</v>
      </c>
      <c r="E18" s="26">
        <v>14</v>
      </c>
      <c r="F18" s="26"/>
      <c r="G18" s="7">
        <v>72000</v>
      </c>
      <c r="H18" s="26">
        <v>0</v>
      </c>
      <c r="I18" s="34"/>
      <c r="J18" s="33"/>
      <c r="K18" s="34"/>
      <c r="L18" s="34"/>
      <c r="M18" s="34"/>
      <c r="N18" s="8"/>
    </row>
    <row r="19" spans="1:14" x14ac:dyDescent="0.35">
      <c r="A19" s="8"/>
      <c r="B19" s="26">
        <v>100</v>
      </c>
      <c r="C19" s="7">
        <v>11000015</v>
      </c>
      <c r="D19" s="26">
        <v>1</v>
      </c>
      <c r="E19" s="26">
        <v>15</v>
      </c>
      <c r="F19" s="26"/>
      <c r="G19" s="7">
        <v>100000</v>
      </c>
      <c r="H19" s="26">
        <v>0</v>
      </c>
      <c r="I19" s="34"/>
      <c r="J19" s="33" t="s">
        <v>1907</v>
      </c>
      <c r="K19" s="34"/>
      <c r="L19" s="34"/>
      <c r="M19" s="34"/>
      <c r="N19" s="8"/>
    </row>
    <row r="20" spans="1:14" x14ac:dyDescent="0.35">
      <c r="A20" s="8"/>
      <c r="B20" s="26">
        <v>100</v>
      </c>
      <c r="C20" s="7">
        <v>11011000</v>
      </c>
      <c r="D20" s="7">
        <v>11</v>
      </c>
      <c r="E20" s="26">
        <v>0</v>
      </c>
      <c r="F20" s="26"/>
      <c r="G20" s="7">
        <v>100</v>
      </c>
      <c r="H20" s="26">
        <v>0</v>
      </c>
      <c r="I20" s="34"/>
      <c r="J20" s="34"/>
      <c r="K20" s="34"/>
      <c r="L20" s="34"/>
      <c r="M20" s="34"/>
      <c r="N20" s="8"/>
    </row>
    <row r="21" spans="1:14" x14ac:dyDescent="0.35">
      <c r="A21" s="8"/>
      <c r="B21" s="26">
        <v>100</v>
      </c>
      <c r="C21" s="7">
        <v>11011001</v>
      </c>
      <c r="D21" s="7">
        <v>11</v>
      </c>
      <c r="E21" s="26">
        <v>1</v>
      </c>
      <c r="F21" s="26"/>
      <c r="G21" s="7">
        <v>200</v>
      </c>
      <c r="H21" s="26">
        <v>0</v>
      </c>
      <c r="I21" s="34"/>
      <c r="J21" s="34"/>
      <c r="K21" s="34" t="s">
        <v>1377</v>
      </c>
      <c r="L21" s="34"/>
      <c r="M21" s="34"/>
      <c r="N21" s="8"/>
    </row>
    <row r="22" spans="1:14" x14ac:dyDescent="0.35">
      <c r="A22" s="8"/>
      <c r="B22" s="26">
        <v>100</v>
      </c>
      <c r="C22" s="7">
        <v>11011002</v>
      </c>
      <c r="D22" s="7">
        <v>11</v>
      </c>
      <c r="E22" s="26">
        <v>2</v>
      </c>
      <c r="F22" s="26"/>
      <c r="G22" s="7">
        <v>400</v>
      </c>
      <c r="H22" s="26">
        <v>0</v>
      </c>
      <c r="I22" s="34"/>
      <c r="J22" s="34"/>
      <c r="K22" s="34" t="s">
        <v>1377</v>
      </c>
      <c r="L22" s="34"/>
      <c r="M22" s="34"/>
      <c r="N22" s="8"/>
    </row>
    <row r="23" spans="1:14" x14ac:dyDescent="0.35">
      <c r="A23" s="8"/>
      <c r="B23" s="26">
        <v>100</v>
      </c>
      <c r="C23" s="7">
        <v>11011003</v>
      </c>
      <c r="D23" s="7">
        <v>11</v>
      </c>
      <c r="E23" s="26">
        <v>3</v>
      </c>
      <c r="F23" s="26"/>
      <c r="G23" s="7">
        <v>800</v>
      </c>
      <c r="H23" s="26">
        <v>0</v>
      </c>
      <c r="I23" s="34"/>
      <c r="J23" s="34"/>
      <c r="K23" s="34" t="s">
        <v>1367</v>
      </c>
      <c r="L23" s="34"/>
      <c r="M23" s="34"/>
      <c r="N23" s="8"/>
    </row>
    <row r="24" spans="1:14" x14ac:dyDescent="0.35">
      <c r="A24" s="8"/>
      <c r="B24" s="26">
        <v>100</v>
      </c>
      <c r="C24" s="7">
        <v>11011004</v>
      </c>
      <c r="D24" s="7">
        <v>11</v>
      </c>
      <c r="E24" s="26">
        <v>4</v>
      </c>
      <c r="F24" s="26"/>
      <c r="G24" s="7">
        <v>1600</v>
      </c>
      <c r="H24" s="26">
        <v>0</v>
      </c>
      <c r="I24" s="34"/>
      <c r="J24" s="34"/>
      <c r="K24" s="34" t="s">
        <v>1378</v>
      </c>
      <c r="L24" s="34"/>
      <c r="M24" s="34"/>
      <c r="N24" s="8"/>
    </row>
    <row r="25" spans="1:14" x14ac:dyDescent="0.35">
      <c r="A25" s="8"/>
      <c r="B25" s="26">
        <v>100</v>
      </c>
      <c r="C25" s="7">
        <v>11011005</v>
      </c>
      <c r="D25" s="7">
        <v>11</v>
      </c>
      <c r="E25" s="26">
        <v>5</v>
      </c>
      <c r="F25" s="26" t="b">
        <v>1</v>
      </c>
      <c r="G25" s="7">
        <v>3200</v>
      </c>
      <c r="H25" s="26">
        <v>0</v>
      </c>
      <c r="I25" s="34"/>
      <c r="J25" s="34" t="s">
        <v>1364</v>
      </c>
      <c r="K25" s="34" t="s">
        <v>1379</v>
      </c>
      <c r="L25" s="34"/>
      <c r="M25" s="34"/>
      <c r="N25" s="8"/>
    </row>
    <row r="26" spans="1:14" x14ac:dyDescent="0.35">
      <c r="A26" s="8"/>
      <c r="B26" s="26">
        <v>100</v>
      </c>
      <c r="C26" s="7">
        <v>11011006</v>
      </c>
      <c r="D26" s="7">
        <v>11</v>
      </c>
      <c r="E26" s="26">
        <v>6</v>
      </c>
      <c r="F26" s="26"/>
      <c r="G26" s="7">
        <v>6400</v>
      </c>
      <c r="H26" s="26">
        <v>0</v>
      </c>
      <c r="I26" s="34"/>
      <c r="J26" s="34"/>
      <c r="K26" s="34" t="s">
        <v>1380</v>
      </c>
      <c r="L26" s="34"/>
      <c r="M26" s="34"/>
      <c r="N26" s="8"/>
    </row>
    <row r="27" spans="1:14" x14ac:dyDescent="0.35">
      <c r="A27" s="8"/>
      <c r="B27" s="26">
        <v>100</v>
      </c>
      <c r="C27" s="7">
        <v>11011007</v>
      </c>
      <c r="D27" s="7">
        <v>11</v>
      </c>
      <c r="E27" s="26">
        <v>7</v>
      </c>
      <c r="F27" s="26"/>
      <c r="G27" s="7">
        <v>12800</v>
      </c>
      <c r="H27" s="26">
        <v>0</v>
      </c>
      <c r="I27" s="34"/>
      <c r="J27" s="34"/>
      <c r="K27" s="34" t="s">
        <v>1367</v>
      </c>
      <c r="L27" s="34"/>
      <c r="M27" s="34"/>
      <c r="N27" s="8"/>
    </row>
    <row r="28" spans="1:14" x14ac:dyDescent="0.35">
      <c r="A28" s="8"/>
      <c r="B28" s="26">
        <v>100</v>
      </c>
      <c r="C28" s="7">
        <v>11012000</v>
      </c>
      <c r="D28" s="7">
        <v>12</v>
      </c>
      <c r="E28" s="26">
        <v>0</v>
      </c>
      <c r="F28" s="26"/>
      <c r="G28" s="7">
        <v>100</v>
      </c>
      <c r="H28" s="26">
        <v>0</v>
      </c>
      <c r="I28" s="34"/>
      <c r="J28" s="34"/>
      <c r="K28" s="34"/>
      <c r="L28" s="34"/>
      <c r="M28" s="34"/>
      <c r="N28" s="8"/>
    </row>
    <row r="29" spans="1:14" x14ac:dyDescent="0.35">
      <c r="A29" s="8"/>
      <c r="B29" s="26">
        <v>100</v>
      </c>
      <c r="C29" s="7">
        <v>11012001</v>
      </c>
      <c r="D29" s="7">
        <v>12</v>
      </c>
      <c r="E29" s="26">
        <v>1</v>
      </c>
      <c r="F29" s="26"/>
      <c r="G29" s="7">
        <v>200</v>
      </c>
      <c r="H29" s="26">
        <v>0</v>
      </c>
      <c r="I29" s="34"/>
      <c r="J29" s="34"/>
      <c r="K29" s="34" t="s">
        <v>1381</v>
      </c>
      <c r="L29" s="34"/>
      <c r="M29" s="34"/>
      <c r="N29" s="8"/>
    </row>
    <row r="30" spans="1:14" x14ac:dyDescent="0.35">
      <c r="A30" s="8"/>
      <c r="B30" s="26">
        <v>100</v>
      </c>
      <c r="C30" s="7">
        <v>11012002</v>
      </c>
      <c r="D30" s="7">
        <v>12</v>
      </c>
      <c r="E30" s="26">
        <v>2</v>
      </c>
      <c r="F30" s="26"/>
      <c r="G30" s="7">
        <v>400</v>
      </c>
      <c r="H30" s="26">
        <v>0</v>
      </c>
      <c r="I30" s="34"/>
      <c r="J30" s="34"/>
      <c r="K30" s="34" t="s">
        <v>1378</v>
      </c>
      <c r="L30" s="34"/>
      <c r="M30" s="34"/>
      <c r="N30" s="8"/>
    </row>
    <row r="31" spans="1:14" x14ac:dyDescent="0.35">
      <c r="A31" s="8"/>
      <c r="B31" s="26">
        <v>100</v>
      </c>
      <c r="C31" s="7">
        <v>11012003</v>
      </c>
      <c r="D31" s="7">
        <v>12</v>
      </c>
      <c r="E31" s="26">
        <v>3</v>
      </c>
      <c r="F31" s="26"/>
      <c r="G31" s="7">
        <v>800</v>
      </c>
      <c r="H31" s="26">
        <v>0</v>
      </c>
      <c r="I31" s="34"/>
      <c r="J31" s="34"/>
      <c r="K31" s="34" t="s">
        <v>1381</v>
      </c>
      <c r="L31" s="34"/>
      <c r="M31" s="34"/>
      <c r="N31" s="8"/>
    </row>
    <row r="32" spans="1:14" x14ac:dyDescent="0.35">
      <c r="A32" s="8"/>
      <c r="B32" s="26">
        <v>100</v>
      </c>
      <c r="C32" s="7">
        <v>11012004</v>
      </c>
      <c r="D32" s="7">
        <v>12</v>
      </c>
      <c r="E32" s="26">
        <v>4</v>
      </c>
      <c r="F32" s="26"/>
      <c r="G32" s="7">
        <v>1600</v>
      </c>
      <c r="H32" s="26">
        <v>0</v>
      </c>
      <c r="I32" s="34"/>
      <c r="J32" s="34"/>
      <c r="K32" s="34" t="s">
        <v>1377</v>
      </c>
      <c r="L32" s="34"/>
      <c r="M32" s="34"/>
      <c r="N32" s="8"/>
    </row>
    <row r="33" spans="1:14" x14ac:dyDescent="0.35">
      <c r="A33" s="8"/>
      <c r="B33" s="26">
        <v>100</v>
      </c>
      <c r="C33" s="7">
        <v>11012005</v>
      </c>
      <c r="D33" s="7">
        <v>12</v>
      </c>
      <c r="E33" s="26">
        <v>5</v>
      </c>
      <c r="F33" s="26" t="b">
        <v>1</v>
      </c>
      <c r="G33" s="7">
        <v>3200</v>
      </c>
      <c r="H33" s="26">
        <v>0</v>
      </c>
      <c r="I33" s="34"/>
      <c r="J33" s="34" t="s">
        <v>1364</v>
      </c>
      <c r="K33" s="34" t="s">
        <v>1380</v>
      </c>
      <c r="L33" s="34"/>
      <c r="M33" s="34"/>
      <c r="N33" s="8"/>
    </row>
    <row r="34" spans="1:14" x14ac:dyDescent="0.35">
      <c r="A34" s="8"/>
      <c r="B34" s="26">
        <v>100</v>
      </c>
      <c r="C34" s="7">
        <v>11012006</v>
      </c>
      <c r="D34" s="7">
        <v>12</v>
      </c>
      <c r="E34" s="26">
        <v>6</v>
      </c>
      <c r="F34" s="26"/>
      <c r="G34" s="7">
        <v>6400</v>
      </c>
      <c r="H34" s="26">
        <v>0</v>
      </c>
      <c r="I34" s="34"/>
      <c r="J34" s="34"/>
      <c r="K34" s="34" t="s">
        <v>1379</v>
      </c>
      <c r="L34" s="34"/>
      <c r="M34" s="34"/>
      <c r="N34" s="8"/>
    </row>
    <row r="35" spans="1:14" x14ac:dyDescent="0.35">
      <c r="A35" s="8"/>
      <c r="B35" s="26">
        <v>100</v>
      </c>
      <c r="C35" s="7">
        <v>11012007</v>
      </c>
      <c r="D35" s="7">
        <v>12</v>
      </c>
      <c r="E35" s="26">
        <v>7</v>
      </c>
      <c r="F35" s="26"/>
      <c r="G35" s="7">
        <v>12800</v>
      </c>
      <c r="H35" s="26">
        <v>0</v>
      </c>
      <c r="I35" s="34"/>
      <c r="J35" s="34"/>
      <c r="K35" s="34" t="s">
        <v>1367</v>
      </c>
      <c r="L35" s="34"/>
      <c r="M35" s="34"/>
      <c r="N35" s="8"/>
    </row>
    <row r="36" spans="1:14" x14ac:dyDescent="0.35">
      <c r="A36" s="8"/>
      <c r="B36" s="26">
        <v>100</v>
      </c>
      <c r="C36" s="7">
        <v>11013000</v>
      </c>
      <c r="D36" s="7">
        <v>13</v>
      </c>
      <c r="E36" s="26">
        <v>0</v>
      </c>
      <c r="F36" s="26"/>
      <c r="G36" s="7">
        <v>100</v>
      </c>
      <c r="H36" s="26">
        <v>0</v>
      </c>
      <c r="I36" s="34"/>
      <c r="J36" s="34"/>
      <c r="K36" s="34"/>
      <c r="L36" s="34"/>
      <c r="M36" s="34"/>
      <c r="N36" s="8"/>
    </row>
    <row r="37" spans="1:14" x14ac:dyDescent="0.35">
      <c r="A37" s="8"/>
      <c r="B37" s="26">
        <v>100</v>
      </c>
      <c r="C37" s="7">
        <v>11013001</v>
      </c>
      <c r="D37" s="7">
        <v>13</v>
      </c>
      <c r="E37" s="26">
        <v>1</v>
      </c>
      <c r="F37" s="26"/>
      <c r="G37" s="7">
        <v>200</v>
      </c>
      <c r="H37" s="26">
        <v>0</v>
      </c>
      <c r="I37" s="34"/>
      <c r="J37" s="34"/>
      <c r="K37" s="34" t="s">
        <v>1381</v>
      </c>
      <c r="L37" s="34"/>
      <c r="M37" s="34"/>
      <c r="N37" s="8"/>
    </row>
    <row r="38" spans="1:14" x14ac:dyDescent="0.35">
      <c r="A38" s="8"/>
      <c r="B38" s="26">
        <v>100</v>
      </c>
      <c r="C38" s="7">
        <v>11013002</v>
      </c>
      <c r="D38" s="7">
        <v>13</v>
      </c>
      <c r="E38" s="26">
        <v>2</v>
      </c>
      <c r="F38" s="26"/>
      <c r="G38" s="7">
        <v>400</v>
      </c>
      <c r="H38" s="26">
        <v>0</v>
      </c>
      <c r="I38" s="34"/>
      <c r="J38" s="34"/>
      <c r="K38" s="34" t="s">
        <v>1378</v>
      </c>
      <c r="L38" s="34"/>
      <c r="M38" s="34"/>
      <c r="N38" s="8"/>
    </row>
    <row r="39" spans="1:14" x14ac:dyDescent="0.35">
      <c r="A39" s="8"/>
      <c r="B39" s="26">
        <v>100</v>
      </c>
      <c r="C39" s="7">
        <v>11013003</v>
      </c>
      <c r="D39" s="7">
        <v>13</v>
      </c>
      <c r="E39" s="26">
        <v>3</v>
      </c>
      <c r="F39" s="26"/>
      <c r="G39" s="7">
        <v>800</v>
      </c>
      <c r="H39" s="26">
        <v>0</v>
      </c>
      <c r="I39" s="34"/>
      <c r="J39" s="34"/>
      <c r="K39" s="34" t="s">
        <v>1377</v>
      </c>
      <c r="L39" s="34"/>
      <c r="M39" s="34"/>
      <c r="N39" s="8"/>
    </row>
    <row r="40" spans="1:14" x14ac:dyDescent="0.35">
      <c r="A40" s="8"/>
      <c r="B40" s="26">
        <v>100</v>
      </c>
      <c r="C40" s="7">
        <v>11013004</v>
      </c>
      <c r="D40" s="7">
        <v>13</v>
      </c>
      <c r="E40" s="26">
        <v>4</v>
      </c>
      <c r="F40" s="26"/>
      <c r="G40" s="7">
        <v>1600</v>
      </c>
      <c r="H40" s="26">
        <v>0</v>
      </c>
      <c r="I40" s="34"/>
      <c r="J40" s="34"/>
      <c r="K40" s="34" t="s">
        <v>1379</v>
      </c>
      <c r="L40" s="34"/>
      <c r="M40" s="34"/>
      <c r="N40" s="8"/>
    </row>
    <row r="41" spans="1:14" x14ac:dyDescent="0.35">
      <c r="A41" s="8"/>
      <c r="B41" s="26">
        <v>100</v>
      </c>
      <c r="C41" s="7">
        <v>11013005</v>
      </c>
      <c r="D41" s="7">
        <v>13</v>
      </c>
      <c r="E41" s="26">
        <v>5</v>
      </c>
      <c r="F41" s="26" t="b">
        <v>1</v>
      </c>
      <c r="G41" s="7">
        <v>3200</v>
      </c>
      <c r="H41" s="26">
        <v>0</v>
      </c>
      <c r="I41" s="34"/>
      <c r="J41" s="34" t="s">
        <v>1364</v>
      </c>
      <c r="K41" s="34" t="s">
        <v>1367</v>
      </c>
      <c r="L41" s="34"/>
      <c r="M41" s="34"/>
      <c r="N41" s="8"/>
    </row>
    <row r="42" spans="1:14" x14ac:dyDescent="0.35">
      <c r="A42" s="8"/>
      <c r="B42" s="26">
        <v>100</v>
      </c>
      <c r="C42" s="7">
        <v>11013006</v>
      </c>
      <c r="D42" s="7">
        <v>13</v>
      </c>
      <c r="E42" s="26">
        <v>6</v>
      </c>
      <c r="F42" s="26"/>
      <c r="G42" s="7">
        <v>6400</v>
      </c>
      <c r="H42" s="26">
        <v>0</v>
      </c>
      <c r="I42" s="34"/>
      <c r="J42" s="34"/>
      <c r="K42" s="34" t="s">
        <v>1381</v>
      </c>
      <c r="L42" s="34"/>
      <c r="M42" s="34"/>
      <c r="N42" s="8"/>
    </row>
    <row r="43" spans="1:14" x14ac:dyDescent="0.35">
      <c r="A43" s="8"/>
      <c r="B43" s="26">
        <v>100</v>
      </c>
      <c r="C43" s="7">
        <v>11013007</v>
      </c>
      <c r="D43" s="7">
        <v>13</v>
      </c>
      <c r="E43" s="26">
        <v>7</v>
      </c>
      <c r="F43" s="26"/>
      <c r="G43" s="7">
        <v>12800</v>
      </c>
      <c r="H43" s="26">
        <v>0</v>
      </c>
      <c r="I43" s="34"/>
      <c r="J43" s="34"/>
      <c r="K43" s="34" t="s">
        <v>1378</v>
      </c>
      <c r="L43" s="34"/>
      <c r="M43" s="34"/>
      <c r="N43" s="8"/>
    </row>
    <row r="44" spans="1:14" x14ac:dyDescent="0.35">
      <c r="A44" s="8"/>
      <c r="B44" s="26">
        <v>100</v>
      </c>
      <c r="C44" s="7">
        <v>11014000</v>
      </c>
      <c r="D44" s="7">
        <v>14</v>
      </c>
      <c r="E44" s="39">
        <v>0</v>
      </c>
      <c r="F44" s="39"/>
      <c r="G44" s="7">
        <v>100</v>
      </c>
      <c r="H44" s="26">
        <v>0</v>
      </c>
      <c r="I44" s="34"/>
      <c r="J44" s="34"/>
      <c r="K44" s="34"/>
      <c r="L44" s="34"/>
      <c r="M44" s="34"/>
      <c r="N44" s="8"/>
    </row>
    <row r="45" spans="1:14" x14ac:dyDescent="0.35">
      <c r="A45" s="8"/>
      <c r="B45" s="26">
        <v>100</v>
      </c>
      <c r="C45" s="7">
        <v>11014001</v>
      </c>
      <c r="D45" s="7">
        <v>14</v>
      </c>
      <c r="E45" s="39">
        <v>1</v>
      </c>
      <c r="F45" s="39"/>
      <c r="G45" s="7">
        <v>200</v>
      </c>
      <c r="H45" s="26">
        <v>0</v>
      </c>
      <c r="I45" s="34"/>
      <c r="J45" s="34"/>
      <c r="K45" s="34" t="s">
        <v>1366</v>
      </c>
      <c r="L45" s="34"/>
      <c r="M45" s="34"/>
      <c r="N45" s="8"/>
    </row>
    <row r="46" spans="1:14" x14ac:dyDescent="0.35">
      <c r="A46" s="8"/>
      <c r="B46" s="26">
        <v>100</v>
      </c>
      <c r="C46" s="7">
        <v>11014002</v>
      </c>
      <c r="D46" s="7">
        <v>14</v>
      </c>
      <c r="E46" s="39">
        <v>2</v>
      </c>
      <c r="F46" s="39"/>
      <c r="G46" s="7">
        <v>400</v>
      </c>
      <c r="H46" s="26">
        <v>0</v>
      </c>
      <c r="I46" s="34"/>
      <c r="J46" s="34"/>
      <c r="K46" s="34" t="s">
        <v>1380</v>
      </c>
      <c r="L46" s="34"/>
      <c r="M46" s="34"/>
      <c r="N46" s="8"/>
    </row>
    <row r="47" spans="1:14" x14ac:dyDescent="0.35">
      <c r="A47" s="8"/>
      <c r="B47" s="26">
        <v>100</v>
      </c>
      <c r="C47" s="7">
        <v>11014003</v>
      </c>
      <c r="D47" s="7">
        <v>14</v>
      </c>
      <c r="E47" s="39">
        <v>3</v>
      </c>
      <c r="F47" s="39"/>
      <c r="G47" s="7">
        <v>800</v>
      </c>
      <c r="H47" s="26">
        <v>0</v>
      </c>
      <c r="I47" s="34"/>
      <c r="J47" s="34"/>
      <c r="K47" s="34" t="s">
        <v>1381</v>
      </c>
      <c r="L47" s="34"/>
      <c r="M47" s="34"/>
      <c r="N47" s="8"/>
    </row>
    <row r="48" spans="1:14" x14ac:dyDescent="0.35">
      <c r="A48" s="8"/>
      <c r="B48" s="26">
        <v>100</v>
      </c>
      <c r="C48" s="7">
        <v>11014004</v>
      </c>
      <c r="D48" s="7">
        <v>14</v>
      </c>
      <c r="E48" s="39">
        <v>4</v>
      </c>
      <c r="F48" s="39"/>
      <c r="G48" s="7">
        <v>1600</v>
      </c>
      <c r="H48" s="26">
        <v>0</v>
      </c>
      <c r="I48" s="34"/>
      <c r="J48" s="34"/>
      <c r="K48" s="34" t="s">
        <v>1378</v>
      </c>
      <c r="L48" s="34"/>
      <c r="M48" s="34"/>
      <c r="N48" s="8"/>
    </row>
    <row r="49" spans="1:14" x14ac:dyDescent="0.35">
      <c r="A49" s="8"/>
      <c r="B49" s="26">
        <v>100</v>
      </c>
      <c r="C49" s="7">
        <v>11014005</v>
      </c>
      <c r="D49" s="7">
        <v>14</v>
      </c>
      <c r="E49" s="39">
        <v>5</v>
      </c>
      <c r="F49" s="26" t="b">
        <v>1</v>
      </c>
      <c r="G49" s="7">
        <v>3200</v>
      </c>
      <c r="H49" s="26">
        <v>0</v>
      </c>
      <c r="I49" s="34"/>
      <c r="J49" s="34" t="s">
        <v>1364</v>
      </c>
      <c r="K49" s="34" t="s">
        <v>1377</v>
      </c>
      <c r="L49" s="34"/>
      <c r="M49" s="34"/>
      <c r="N49" s="8"/>
    </row>
    <row r="50" spans="1:14" x14ac:dyDescent="0.35">
      <c r="A50" s="8"/>
      <c r="B50" s="26">
        <v>100</v>
      </c>
      <c r="C50" s="7">
        <v>11014006</v>
      </c>
      <c r="D50" s="7">
        <v>14</v>
      </c>
      <c r="E50" s="39">
        <v>6</v>
      </c>
      <c r="F50" s="39"/>
      <c r="G50" s="7">
        <v>6400</v>
      </c>
      <c r="H50" s="26">
        <v>0</v>
      </c>
      <c r="I50" s="34"/>
      <c r="J50" s="34"/>
      <c r="K50" s="34" t="s">
        <v>1367</v>
      </c>
      <c r="L50" s="34"/>
      <c r="M50" s="34"/>
      <c r="N50" s="8"/>
    </row>
    <row r="51" spans="1:14" x14ac:dyDescent="0.35">
      <c r="A51" s="8"/>
      <c r="B51" s="26">
        <v>100</v>
      </c>
      <c r="C51" s="7">
        <v>11014007</v>
      </c>
      <c r="D51" s="7">
        <v>14</v>
      </c>
      <c r="E51" s="39">
        <v>7</v>
      </c>
      <c r="F51" s="39"/>
      <c r="G51" s="7">
        <v>12800</v>
      </c>
      <c r="H51" s="26">
        <v>0</v>
      </c>
      <c r="I51" s="34"/>
      <c r="J51" s="34"/>
      <c r="K51" s="34" t="s">
        <v>1382</v>
      </c>
      <c r="L51" s="34"/>
      <c r="M51" s="34"/>
      <c r="N51" s="8"/>
    </row>
    <row r="52" spans="1:14" x14ac:dyDescent="0.35">
      <c r="A52" s="8"/>
      <c r="B52" s="26">
        <v>100</v>
      </c>
      <c r="C52" s="7">
        <v>11015000</v>
      </c>
      <c r="D52" s="7">
        <v>15</v>
      </c>
      <c r="E52" s="39">
        <v>0</v>
      </c>
      <c r="F52" s="39"/>
      <c r="G52" s="7">
        <v>100</v>
      </c>
      <c r="H52" s="26">
        <v>0</v>
      </c>
      <c r="I52" s="34"/>
      <c r="J52" s="34"/>
      <c r="K52" s="34"/>
      <c r="L52" s="34"/>
      <c r="M52" s="34"/>
      <c r="N52" s="8"/>
    </row>
    <row r="53" spans="1:14" x14ac:dyDescent="0.35">
      <c r="A53" s="8"/>
      <c r="B53" s="26">
        <v>100</v>
      </c>
      <c r="C53" s="7">
        <v>11015001</v>
      </c>
      <c r="D53" s="7">
        <v>15</v>
      </c>
      <c r="E53" s="39">
        <v>1</v>
      </c>
      <c r="F53" s="39"/>
      <c r="G53" s="7">
        <v>200</v>
      </c>
      <c r="H53" s="26">
        <v>0</v>
      </c>
      <c r="I53" s="34"/>
      <c r="J53" s="34"/>
      <c r="K53" s="34" t="s">
        <v>1379</v>
      </c>
      <c r="L53" s="34"/>
      <c r="M53" s="34"/>
      <c r="N53" s="8"/>
    </row>
    <row r="54" spans="1:14" x14ac:dyDescent="0.35">
      <c r="A54" s="8"/>
      <c r="B54" s="26">
        <v>100</v>
      </c>
      <c r="C54" s="7">
        <v>11015002</v>
      </c>
      <c r="D54" s="7">
        <v>15</v>
      </c>
      <c r="E54" s="39">
        <v>2</v>
      </c>
      <c r="F54" s="39"/>
      <c r="G54" s="7">
        <v>400</v>
      </c>
      <c r="H54" s="26">
        <v>0</v>
      </c>
      <c r="I54" s="34"/>
      <c r="J54" s="34"/>
      <c r="K54" s="34" t="s">
        <v>1381</v>
      </c>
      <c r="L54" s="34"/>
      <c r="M54" s="34"/>
      <c r="N54" s="8"/>
    </row>
    <row r="55" spans="1:14" x14ac:dyDescent="0.35">
      <c r="A55" s="8"/>
      <c r="B55" s="26">
        <v>100</v>
      </c>
      <c r="C55" s="7">
        <v>11015003</v>
      </c>
      <c r="D55" s="7">
        <v>15</v>
      </c>
      <c r="E55" s="39">
        <v>3</v>
      </c>
      <c r="F55" s="39"/>
      <c r="G55" s="7">
        <v>800</v>
      </c>
      <c r="H55" s="26">
        <v>0</v>
      </c>
      <c r="I55" s="34"/>
      <c r="J55" s="34"/>
      <c r="K55" s="34" t="s">
        <v>1378</v>
      </c>
      <c r="L55" s="34"/>
      <c r="M55" s="34"/>
      <c r="N55" s="8"/>
    </row>
    <row r="56" spans="1:14" x14ac:dyDescent="0.35">
      <c r="A56" s="8"/>
      <c r="B56" s="26">
        <v>100</v>
      </c>
      <c r="C56" s="7">
        <v>11015004</v>
      </c>
      <c r="D56" s="7">
        <v>15</v>
      </c>
      <c r="E56" s="39">
        <v>4</v>
      </c>
      <c r="F56" s="39"/>
      <c r="G56" s="7">
        <v>1600</v>
      </c>
      <c r="H56" s="26">
        <v>0</v>
      </c>
      <c r="I56" s="34"/>
      <c r="J56" s="34"/>
      <c r="K56" s="34" t="s">
        <v>1381</v>
      </c>
      <c r="L56" s="34"/>
      <c r="M56" s="34"/>
      <c r="N56" s="8"/>
    </row>
    <row r="57" spans="1:14" x14ac:dyDescent="0.35">
      <c r="A57" s="8"/>
      <c r="B57" s="26">
        <v>100</v>
      </c>
      <c r="C57" s="7">
        <v>11015005</v>
      </c>
      <c r="D57" s="7">
        <v>15</v>
      </c>
      <c r="E57" s="39">
        <v>5</v>
      </c>
      <c r="F57" s="26" t="b">
        <v>1</v>
      </c>
      <c r="G57" s="7">
        <v>3200</v>
      </c>
      <c r="H57" s="26">
        <v>0</v>
      </c>
      <c r="I57" s="34"/>
      <c r="J57" s="34" t="s">
        <v>1364</v>
      </c>
      <c r="K57" s="34" t="s">
        <v>1377</v>
      </c>
      <c r="L57" s="34"/>
      <c r="M57" s="34"/>
      <c r="N57" s="8"/>
    </row>
    <row r="58" spans="1:14" x14ac:dyDescent="0.35">
      <c r="A58" s="8"/>
      <c r="B58" s="26">
        <v>100</v>
      </c>
      <c r="C58" s="7">
        <v>11015006</v>
      </c>
      <c r="D58" s="7">
        <v>15</v>
      </c>
      <c r="E58" s="39">
        <v>6</v>
      </c>
      <c r="F58" s="39"/>
      <c r="G58" s="7">
        <v>6400</v>
      </c>
      <c r="H58" s="26">
        <v>0</v>
      </c>
      <c r="I58" s="34"/>
      <c r="J58" s="34"/>
      <c r="K58" s="34" t="s">
        <v>1378</v>
      </c>
      <c r="L58" s="34"/>
      <c r="M58" s="34"/>
      <c r="N58" s="8"/>
    </row>
    <row r="59" spans="1:14" x14ac:dyDescent="0.35">
      <c r="A59" s="8"/>
      <c r="B59" s="26">
        <v>100</v>
      </c>
      <c r="C59" s="7">
        <v>11015007</v>
      </c>
      <c r="D59" s="7">
        <v>15</v>
      </c>
      <c r="E59" s="39">
        <v>7</v>
      </c>
      <c r="F59" s="39"/>
      <c r="G59" s="7">
        <v>12800</v>
      </c>
      <c r="H59" s="26">
        <v>0</v>
      </c>
      <c r="I59" s="34"/>
      <c r="J59" s="34"/>
      <c r="K59" s="34" t="s">
        <v>1381</v>
      </c>
      <c r="L59" s="34"/>
      <c r="M59" s="34"/>
      <c r="N59" s="8"/>
    </row>
    <row r="60" spans="1:14" x14ac:dyDescent="0.35">
      <c r="A60" s="8"/>
      <c r="B60" s="26">
        <v>100</v>
      </c>
      <c r="C60" s="7">
        <v>11016000</v>
      </c>
      <c r="D60" s="7">
        <v>16</v>
      </c>
      <c r="E60" s="39">
        <v>0</v>
      </c>
      <c r="F60" s="39"/>
      <c r="G60" s="7">
        <v>100</v>
      </c>
      <c r="H60" s="26">
        <v>0</v>
      </c>
      <c r="I60" s="34"/>
      <c r="J60" s="34"/>
      <c r="K60" s="34"/>
      <c r="L60" s="34"/>
      <c r="M60" s="34"/>
      <c r="N60" s="8"/>
    </row>
    <row r="61" spans="1:14" x14ac:dyDescent="0.35">
      <c r="A61" s="8"/>
      <c r="B61" s="26">
        <v>100</v>
      </c>
      <c r="C61" s="7">
        <v>11016001</v>
      </c>
      <c r="D61" s="7">
        <v>16</v>
      </c>
      <c r="E61" s="39">
        <v>1</v>
      </c>
      <c r="F61" s="39"/>
      <c r="G61" s="7">
        <v>200</v>
      </c>
      <c r="H61" s="26">
        <v>0</v>
      </c>
      <c r="I61" s="34"/>
      <c r="J61" s="34"/>
      <c r="K61" s="34" t="s">
        <v>1367</v>
      </c>
      <c r="L61" s="34"/>
      <c r="M61" s="34"/>
      <c r="N61" s="8"/>
    </row>
    <row r="62" spans="1:14" x14ac:dyDescent="0.35">
      <c r="A62" s="8"/>
      <c r="B62" s="26">
        <v>100</v>
      </c>
      <c r="C62" s="7">
        <v>11016002</v>
      </c>
      <c r="D62" s="7">
        <v>16</v>
      </c>
      <c r="E62" s="39">
        <v>2</v>
      </c>
      <c r="F62" s="39"/>
      <c r="G62" s="7">
        <v>400</v>
      </c>
      <c r="H62" s="26">
        <v>0</v>
      </c>
      <c r="I62" s="34"/>
      <c r="J62" s="34"/>
      <c r="K62" s="34" t="s">
        <v>1378</v>
      </c>
      <c r="L62" s="34"/>
      <c r="M62" s="34"/>
      <c r="N62" s="8"/>
    </row>
    <row r="63" spans="1:14" x14ac:dyDescent="0.35">
      <c r="A63" s="8"/>
      <c r="B63" s="26">
        <v>100</v>
      </c>
      <c r="C63" s="7">
        <v>11016003</v>
      </c>
      <c r="D63" s="7">
        <v>16</v>
      </c>
      <c r="E63" s="39">
        <v>3</v>
      </c>
      <c r="F63" s="39"/>
      <c r="G63" s="7">
        <v>800</v>
      </c>
      <c r="H63" s="26">
        <v>0</v>
      </c>
      <c r="I63" s="34"/>
      <c r="J63" s="34"/>
      <c r="K63" s="34" t="s">
        <v>1381</v>
      </c>
      <c r="L63" s="34"/>
      <c r="M63" s="34"/>
      <c r="N63" s="8"/>
    </row>
    <row r="64" spans="1:14" x14ac:dyDescent="0.35">
      <c r="A64" s="8"/>
      <c r="B64" s="26">
        <v>100</v>
      </c>
      <c r="C64" s="7">
        <v>11016004</v>
      </c>
      <c r="D64" s="7">
        <v>16</v>
      </c>
      <c r="E64" s="39">
        <v>4</v>
      </c>
      <c r="F64" s="39"/>
      <c r="G64" s="7">
        <v>1600</v>
      </c>
      <c r="H64" s="26">
        <v>0</v>
      </c>
      <c r="I64" s="34"/>
      <c r="J64" s="34"/>
      <c r="K64" s="34" t="s">
        <v>1378</v>
      </c>
      <c r="L64" s="34"/>
      <c r="M64" s="34"/>
      <c r="N64" s="8"/>
    </row>
    <row r="65" spans="1:14" x14ac:dyDescent="0.35">
      <c r="A65" s="8"/>
      <c r="B65" s="26">
        <v>100</v>
      </c>
      <c r="C65" s="7">
        <v>11016005</v>
      </c>
      <c r="D65" s="7">
        <v>16</v>
      </c>
      <c r="E65" s="39">
        <v>5</v>
      </c>
      <c r="F65" s="26" t="b">
        <v>1</v>
      </c>
      <c r="G65" s="7">
        <v>3200</v>
      </c>
      <c r="H65" s="26">
        <v>0</v>
      </c>
      <c r="I65" s="34"/>
      <c r="J65" s="34" t="s">
        <v>1364</v>
      </c>
      <c r="K65" s="34" t="s">
        <v>1381</v>
      </c>
      <c r="L65" s="34"/>
      <c r="M65" s="34"/>
      <c r="N65" s="8"/>
    </row>
    <row r="66" spans="1:14" x14ac:dyDescent="0.35">
      <c r="A66" s="8"/>
      <c r="B66" s="26">
        <v>100</v>
      </c>
      <c r="C66" s="7">
        <v>11016006</v>
      </c>
      <c r="D66" s="7">
        <v>16</v>
      </c>
      <c r="E66" s="39">
        <v>6</v>
      </c>
      <c r="F66" s="39"/>
      <c r="G66" s="7">
        <v>6400</v>
      </c>
      <c r="H66" s="26">
        <v>0</v>
      </c>
      <c r="I66" s="34"/>
      <c r="J66" s="34"/>
      <c r="K66" s="34" t="s">
        <v>1378</v>
      </c>
      <c r="L66" s="34"/>
      <c r="M66" s="34"/>
      <c r="N66" s="8"/>
    </row>
    <row r="67" spans="1:14" x14ac:dyDescent="0.35">
      <c r="A67" s="8"/>
      <c r="B67" s="26">
        <v>100</v>
      </c>
      <c r="C67" s="7">
        <v>11016007</v>
      </c>
      <c r="D67" s="7">
        <v>16</v>
      </c>
      <c r="E67" s="39">
        <v>7</v>
      </c>
      <c r="F67" s="39"/>
      <c r="G67" s="7">
        <v>12800</v>
      </c>
      <c r="H67" s="26">
        <v>0</v>
      </c>
      <c r="I67" s="34"/>
      <c r="J67" s="34"/>
      <c r="K67" s="34" t="s">
        <v>1379</v>
      </c>
      <c r="L67" s="34"/>
      <c r="M67" s="34"/>
      <c r="N67" s="8"/>
    </row>
    <row r="68" spans="1:14" x14ac:dyDescent="0.35">
      <c r="A68" s="8"/>
      <c r="B68" s="26">
        <v>100</v>
      </c>
      <c r="C68" s="7">
        <v>11021000</v>
      </c>
      <c r="D68" s="7">
        <v>21</v>
      </c>
      <c r="E68" s="39">
        <v>0</v>
      </c>
      <c r="F68" s="39"/>
      <c r="G68" s="7">
        <v>100</v>
      </c>
      <c r="H68" s="26">
        <v>0</v>
      </c>
      <c r="I68" s="34"/>
      <c r="J68" s="34"/>
      <c r="K68" s="34"/>
      <c r="L68" s="34"/>
      <c r="M68" s="34"/>
      <c r="N68" s="8"/>
    </row>
    <row r="69" spans="1:14" x14ac:dyDescent="0.35">
      <c r="A69" s="8"/>
      <c r="B69" s="26">
        <v>100</v>
      </c>
      <c r="C69" s="7">
        <v>11021001</v>
      </c>
      <c r="D69" s="7">
        <v>21</v>
      </c>
      <c r="E69" s="39">
        <v>1</v>
      </c>
      <c r="F69" s="39"/>
      <c r="G69" s="7">
        <v>200</v>
      </c>
      <c r="H69" s="26">
        <v>0</v>
      </c>
      <c r="I69" s="34"/>
      <c r="J69" s="34"/>
      <c r="K69" s="34" t="s">
        <v>1383</v>
      </c>
      <c r="L69" s="34"/>
      <c r="M69" s="34"/>
      <c r="N69" s="8"/>
    </row>
    <row r="70" spans="1:14" x14ac:dyDescent="0.35">
      <c r="A70" s="8"/>
      <c r="B70" s="26">
        <v>100</v>
      </c>
      <c r="C70" s="7">
        <v>11021002</v>
      </c>
      <c r="D70" s="7">
        <v>21</v>
      </c>
      <c r="E70" s="39">
        <v>2</v>
      </c>
      <c r="F70" s="39"/>
      <c r="G70" s="7">
        <v>400</v>
      </c>
      <c r="H70" s="26">
        <v>0</v>
      </c>
      <c r="I70" s="34"/>
      <c r="J70" s="34"/>
      <c r="K70" s="34" t="s">
        <v>1384</v>
      </c>
      <c r="L70" s="34"/>
      <c r="M70" s="34"/>
      <c r="N70" s="8"/>
    </row>
    <row r="71" spans="1:14" x14ac:dyDescent="0.35">
      <c r="A71" s="8"/>
      <c r="B71" s="26">
        <v>100</v>
      </c>
      <c r="C71" s="7">
        <v>11021003</v>
      </c>
      <c r="D71" s="7">
        <v>21</v>
      </c>
      <c r="E71" s="39">
        <v>3</v>
      </c>
      <c r="F71" s="39"/>
      <c r="G71" s="7">
        <v>800</v>
      </c>
      <c r="H71" s="26">
        <v>0</v>
      </c>
      <c r="I71" s="34"/>
      <c r="J71" s="34"/>
      <c r="K71" s="34" t="s">
        <v>1385</v>
      </c>
      <c r="L71" s="34"/>
      <c r="M71" s="34"/>
      <c r="N71" s="8"/>
    </row>
    <row r="72" spans="1:14" x14ac:dyDescent="0.35">
      <c r="A72" s="8"/>
      <c r="B72" s="26">
        <v>100</v>
      </c>
      <c r="C72" s="7">
        <v>11021004</v>
      </c>
      <c r="D72" s="7">
        <v>21</v>
      </c>
      <c r="E72" s="39">
        <v>4</v>
      </c>
      <c r="F72" s="39"/>
      <c r="G72" s="7">
        <v>1600</v>
      </c>
      <c r="H72" s="26">
        <v>0</v>
      </c>
      <c r="I72" s="34"/>
      <c r="J72" s="34"/>
      <c r="K72" s="34" t="s">
        <v>1386</v>
      </c>
      <c r="L72" s="34"/>
      <c r="M72" s="34"/>
      <c r="N72" s="8"/>
    </row>
    <row r="73" spans="1:14" x14ac:dyDescent="0.35">
      <c r="A73" s="8"/>
      <c r="B73" s="26">
        <v>100</v>
      </c>
      <c r="C73" s="7">
        <v>11021005</v>
      </c>
      <c r="D73" s="7">
        <v>21</v>
      </c>
      <c r="E73" s="39">
        <v>5</v>
      </c>
      <c r="F73" s="26" t="b">
        <v>1</v>
      </c>
      <c r="G73" s="7">
        <v>3200</v>
      </c>
      <c r="H73" s="26">
        <v>0</v>
      </c>
      <c r="I73" s="34"/>
      <c r="J73" s="34" t="s">
        <v>1364</v>
      </c>
      <c r="K73" s="34" t="s">
        <v>1387</v>
      </c>
      <c r="L73" s="34"/>
      <c r="M73" s="34"/>
      <c r="N73" s="8"/>
    </row>
    <row r="74" spans="1:14" x14ac:dyDescent="0.35">
      <c r="A74" s="8"/>
      <c r="B74" s="26">
        <v>100</v>
      </c>
      <c r="C74" s="7">
        <v>11021006</v>
      </c>
      <c r="D74" s="7">
        <v>21</v>
      </c>
      <c r="E74" s="39">
        <v>6</v>
      </c>
      <c r="F74" s="39"/>
      <c r="G74" s="7">
        <v>6400</v>
      </c>
      <c r="H74" s="26">
        <v>0</v>
      </c>
      <c r="I74" s="34"/>
      <c r="J74" s="34"/>
      <c r="K74" s="34" t="s">
        <v>1384</v>
      </c>
      <c r="L74" s="34"/>
      <c r="M74" s="34"/>
      <c r="N74" s="8"/>
    </row>
    <row r="75" spans="1:14" x14ac:dyDescent="0.35">
      <c r="A75" s="8"/>
      <c r="B75" s="26">
        <v>100</v>
      </c>
      <c r="C75" s="7">
        <v>11021007</v>
      </c>
      <c r="D75" s="7">
        <v>21</v>
      </c>
      <c r="E75" s="39">
        <v>7</v>
      </c>
      <c r="F75" s="39"/>
      <c r="G75" s="7">
        <v>12800</v>
      </c>
      <c r="H75" s="26">
        <v>0</v>
      </c>
      <c r="I75" s="34"/>
      <c r="J75" s="34"/>
      <c r="K75" s="34" t="s">
        <v>1388</v>
      </c>
      <c r="L75" s="34"/>
      <c r="M75" s="34"/>
      <c r="N75" s="8"/>
    </row>
    <row r="76" spans="1:14" x14ac:dyDescent="0.35">
      <c r="A76" s="8"/>
      <c r="B76" s="26">
        <v>100</v>
      </c>
      <c r="C76" s="7">
        <v>11022000</v>
      </c>
      <c r="D76" s="7">
        <v>22</v>
      </c>
      <c r="E76" s="39">
        <v>0</v>
      </c>
      <c r="F76" s="39"/>
      <c r="G76" s="7">
        <v>100</v>
      </c>
      <c r="H76" s="26">
        <v>0</v>
      </c>
      <c r="I76" s="34"/>
      <c r="J76" s="34"/>
      <c r="K76" s="34"/>
      <c r="L76" s="34"/>
      <c r="M76" s="34"/>
      <c r="N76" s="8"/>
    </row>
    <row r="77" spans="1:14" x14ac:dyDescent="0.35">
      <c r="A77" s="8"/>
      <c r="B77" s="26">
        <v>100</v>
      </c>
      <c r="C77" s="7">
        <v>11022001</v>
      </c>
      <c r="D77" s="7">
        <v>22</v>
      </c>
      <c r="E77" s="39">
        <v>1</v>
      </c>
      <c r="F77" s="39"/>
      <c r="G77" s="7">
        <v>200</v>
      </c>
      <c r="H77" s="26">
        <v>0</v>
      </c>
      <c r="I77" s="34"/>
      <c r="J77" s="34"/>
      <c r="K77" s="34" t="s">
        <v>1385</v>
      </c>
      <c r="L77" s="34"/>
      <c r="M77" s="34"/>
      <c r="N77" s="8"/>
    </row>
    <row r="78" spans="1:14" x14ac:dyDescent="0.35">
      <c r="A78" s="8"/>
      <c r="B78" s="26">
        <v>100</v>
      </c>
      <c r="C78" s="7">
        <v>11022002</v>
      </c>
      <c r="D78" s="7">
        <v>22</v>
      </c>
      <c r="E78" s="39">
        <v>2</v>
      </c>
      <c r="F78" s="39"/>
      <c r="G78" s="7">
        <v>400</v>
      </c>
      <c r="H78" s="26">
        <v>0</v>
      </c>
      <c r="I78" s="34"/>
      <c r="J78" s="34"/>
      <c r="K78" s="34" t="s">
        <v>1389</v>
      </c>
      <c r="L78" s="34"/>
      <c r="M78" s="34"/>
      <c r="N78" s="8"/>
    </row>
    <row r="79" spans="1:14" x14ac:dyDescent="0.35">
      <c r="A79" s="8"/>
      <c r="B79" s="26">
        <v>100</v>
      </c>
      <c r="C79" s="7">
        <v>11022003</v>
      </c>
      <c r="D79" s="7">
        <v>22</v>
      </c>
      <c r="E79" s="39">
        <v>3</v>
      </c>
      <c r="F79" s="39"/>
      <c r="G79" s="7">
        <v>800</v>
      </c>
      <c r="H79" s="26">
        <v>0</v>
      </c>
      <c r="I79" s="34"/>
      <c r="J79" s="34"/>
      <c r="K79" s="34" t="s">
        <v>1390</v>
      </c>
      <c r="L79" s="34"/>
      <c r="M79" s="34"/>
      <c r="N79" s="8"/>
    </row>
    <row r="80" spans="1:14" x14ac:dyDescent="0.35">
      <c r="A80" s="8"/>
      <c r="B80" s="26">
        <v>100</v>
      </c>
      <c r="C80" s="7">
        <v>11022004</v>
      </c>
      <c r="D80" s="7">
        <v>22</v>
      </c>
      <c r="E80" s="39">
        <v>4</v>
      </c>
      <c r="F80" s="39"/>
      <c r="G80" s="7">
        <v>1600</v>
      </c>
      <c r="H80" s="26">
        <v>0</v>
      </c>
      <c r="I80" s="34"/>
      <c r="J80" s="34"/>
      <c r="K80" s="34" t="s">
        <v>1383</v>
      </c>
      <c r="L80" s="34"/>
      <c r="M80" s="34"/>
      <c r="N80" s="8"/>
    </row>
    <row r="81" spans="1:14" x14ac:dyDescent="0.35">
      <c r="A81" s="8"/>
      <c r="B81" s="26">
        <v>100</v>
      </c>
      <c r="C81" s="7">
        <v>11022005</v>
      </c>
      <c r="D81" s="7">
        <v>22</v>
      </c>
      <c r="E81" s="39">
        <v>5</v>
      </c>
      <c r="F81" s="26" t="b">
        <v>1</v>
      </c>
      <c r="G81" s="7">
        <v>3200</v>
      </c>
      <c r="H81" s="26">
        <v>0</v>
      </c>
      <c r="I81" s="34"/>
      <c r="J81" s="34" t="s">
        <v>1364</v>
      </c>
      <c r="K81" s="34" t="s">
        <v>1388</v>
      </c>
      <c r="L81" s="34"/>
      <c r="M81" s="34"/>
      <c r="N81" s="8"/>
    </row>
    <row r="82" spans="1:14" x14ac:dyDescent="0.35">
      <c r="A82" s="8"/>
      <c r="B82" s="26">
        <v>100</v>
      </c>
      <c r="C82" s="7">
        <v>11022006</v>
      </c>
      <c r="D82" s="7">
        <v>22</v>
      </c>
      <c r="E82" s="39">
        <v>6</v>
      </c>
      <c r="F82" s="39"/>
      <c r="G82" s="7">
        <v>6400</v>
      </c>
      <c r="H82" s="26">
        <v>0</v>
      </c>
      <c r="I82" s="34"/>
      <c r="J82" s="34"/>
      <c r="K82" s="34" t="s">
        <v>1391</v>
      </c>
      <c r="L82" s="34"/>
      <c r="M82" s="34"/>
      <c r="N82" s="8"/>
    </row>
    <row r="83" spans="1:14" x14ac:dyDescent="0.35">
      <c r="A83" s="8"/>
      <c r="B83" s="26">
        <v>100</v>
      </c>
      <c r="C83" s="7">
        <v>11022007</v>
      </c>
      <c r="D83" s="7">
        <v>22</v>
      </c>
      <c r="E83" s="39">
        <v>7</v>
      </c>
      <c r="F83" s="39"/>
      <c r="G83" s="7">
        <v>12800</v>
      </c>
      <c r="H83" s="26">
        <v>0</v>
      </c>
      <c r="I83" s="34"/>
      <c r="J83" s="34"/>
      <c r="K83" s="34" t="s">
        <v>1388</v>
      </c>
      <c r="L83" s="34"/>
      <c r="M83" s="34"/>
      <c r="N83" s="8"/>
    </row>
    <row r="84" spans="1:14" x14ac:dyDescent="0.35">
      <c r="A84" s="8"/>
      <c r="B84" s="26">
        <v>100</v>
      </c>
      <c r="C84" s="7">
        <v>11023000</v>
      </c>
      <c r="D84" s="7">
        <v>23</v>
      </c>
      <c r="E84" s="39">
        <v>0</v>
      </c>
      <c r="F84" s="39"/>
      <c r="G84" s="7">
        <v>100</v>
      </c>
      <c r="H84" s="26">
        <v>0</v>
      </c>
      <c r="I84" s="34"/>
      <c r="J84" s="34"/>
      <c r="K84" s="34"/>
      <c r="L84" s="34"/>
      <c r="M84" s="34"/>
      <c r="N84" s="8"/>
    </row>
    <row r="85" spans="1:14" x14ac:dyDescent="0.35">
      <c r="A85" s="8"/>
      <c r="B85" s="26">
        <v>100</v>
      </c>
      <c r="C85" s="7">
        <v>11023001</v>
      </c>
      <c r="D85" s="7">
        <v>23</v>
      </c>
      <c r="E85" s="39">
        <v>1</v>
      </c>
      <c r="F85" s="39"/>
      <c r="G85" s="7">
        <v>200</v>
      </c>
      <c r="H85" s="26">
        <v>0</v>
      </c>
      <c r="I85" s="34"/>
      <c r="J85" s="34"/>
      <c r="K85" s="34" t="s">
        <v>1391</v>
      </c>
      <c r="L85" s="34"/>
      <c r="M85" s="34"/>
      <c r="N85" s="8"/>
    </row>
    <row r="86" spans="1:14" x14ac:dyDescent="0.35">
      <c r="A86" s="8"/>
      <c r="B86" s="26">
        <v>100</v>
      </c>
      <c r="C86" s="7">
        <v>11023002</v>
      </c>
      <c r="D86" s="7">
        <v>23</v>
      </c>
      <c r="E86" s="39">
        <v>2</v>
      </c>
      <c r="F86" s="39"/>
      <c r="G86" s="7">
        <v>400</v>
      </c>
      <c r="H86" s="26">
        <v>0</v>
      </c>
      <c r="I86" s="34"/>
      <c r="J86" s="34"/>
      <c r="K86" s="34" t="s">
        <v>1387</v>
      </c>
      <c r="L86" s="34"/>
      <c r="M86" s="34"/>
      <c r="N86" s="8"/>
    </row>
    <row r="87" spans="1:14" x14ac:dyDescent="0.35">
      <c r="A87" s="8"/>
      <c r="B87" s="26">
        <v>100</v>
      </c>
      <c r="C87" s="7">
        <v>11023003</v>
      </c>
      <c r="D87" s="7">
        <v>23</v>
      </c>
      <c r="E87" s="39">
        <v>3</v>
      </c>
      <c r="F87" s="39"/>
      <c r="G87" s="7">
        <v>800</v>
      </c>
      <c r="H87" s="26">
        <v>0</v>
      </c>
      <c r="I87" s="34"/>
      <c r="J87" s="34"/>
      <c r="K87" s="34" t="s">
        <v>1392</v>
      </c>
      <c r="L87" s="34"/>
      <c r="M87" s="34"/>
      <c r="N87" s="8"/>
    </row>
    <row r="88" spans="1:14" x14ac:dyDescent="0.35">
      <c r="A88" s="8"/>
      <c r="B88" s="26">
        <v>100</v>
      </c>
      <c r="C88" s="7">
        <v>11023004</v>
      </c>
      <c r="D88" s="7">
        <v>23</v>
      </c>
      <c r="E88" s="39">
        <v>4</v>
      </c>
      <c r="F88" s="39"/>
      <c r="G88" s="7">
        <v>1600</v>
      </c>
      <c r="H88" s="26">
        <v>0</v>
      </c>
      <c r="I88" s="34"/>
      <c r="J88" s="34"/>
      <c r="K88" s="34" t="s">
        <v>1384</v>
      </c>
      <c r="L88" s="34"/>
      <c r="M88" s="34"/>
      <c r="N88" s="8"/>
    </row>
    <row r="89" spans="1:14" x14ac:dyDescent="0.35">
      <c r="A89" s="8"/>
      <c r="B89" s="26">
        <v>100</v>
      </c>
      <c r="C89" s="7">
        <v>11023005</v>
      </c>
      <c r="D89" s="7">
        <v>23</v>
      </c>
      <c r="E89" s="39">
        <v>5</v>
      </c>
      <c r="F89" s="26" t="b">
        <v>1</v>
      </c>
      <c r="G89" s="7">
        <v>3200</v>
      </c>
      <c r="H89" s="26">
        <v>0</v>
      </c>
      <c r="I89" s="34"/>
      <c r="J89" s="34" t="s">
        <v>1364</v>
      </c>
      <c r="K89" s="34" t="s">
        <v>1393</v>
      </c>
      <c r="L89" s="34"/>
      <c r="M89" s="34"/>
      <c r="N89" s="8"/>
    </row>
    <row r="90" spans="1:14" x14ac:dyDescent="0.35">
      <c r="A90" s="8"/>
      <c r="B90" s="26">
        <v>100</v>
      </c>
      <c r="C90" s="7">
        <v>11023006</v>
      </c>
      <c r="D90" s="7">
        <v>23</v>
      </c>
      <c r="E90" s="39">
        <v>6</v>
      </c>
      <c r="F90" s="39"/>
      <c r="G90" s="7">
        <v>6400</v>
      </c>
      <c r="H90" s="26">
        <v>0</v>
      </c>
      <c r="I90" s="34"/>
      <c r="J90" s="34"/>
      <c r="K90" s="34" t="s">
        <v>1392</v>
      </c>
      <c r="L90" s="34"/>
      <c r="M90" s="34"/>
      <c r="N90" s="8"/>
    </row>
    <row r="91" spans="1:14" x14ac:dyDescent="0.35">
      <c r="A91" s="8"/>
      <c r="B91" s="26">
        <v>100</v>
      </c>
      <c r="C91" s="7">
        <v>11023007</v>
      </c>
      <c r="D91" s="7">
        <v>23</v>
      </c>
      <c r="E91" s="39">
        <v>7</v>
      </c>
      <c r="F91" s="39"/>
      <c r="G91" s="7">
        <v>12800</v>
      </c>
      <c r="H91" s="26">
        <v>0</v>
      </c>
      <c r="I91" s="34"/>
      <c r="J91" s="34"/>
      <c r="K91" s="34" t="s">
        <v>1394</v>
      </c>
      <c r="L91" s="34"/>
      <c r="M91" s="34"/>
      <c r="N91" s="8"/>
    </row>
    <row r="92" spans="1:14" x14ac:dyDescent="0.35">
      <c r="A92" s="8"/>
      <c r="B92" s="26">
        <v>100</v>
      </c>
      <c r="C92" s="7">
        <v>11024000</v>
      </c>
      <c r="D92" s="7">
        <v>24</v>
      </c>
      <c r="E92" s="39">
        <v>0</v>
      </c>
      <c r="F92" s="39"/>
      <c r="G92" s="7">
        <v>100</v>
      </c>
      <c r="H92" s="26">
        <v>0</v>
      </c>
      <c r="I92" s="34"/>
      <c r="J92" s="34"/>
      <c r="K92" s="34"/>
      <c r="L92" s="34"/>
      <c r="M92" s="34"/>
      <c r="N92" s="8"/>
    </row>
    <row r="93" spans="1:14" x14ac:dyDescent="0.35">
      <c r="A93" s="8"/>
      <c r="B93" s="26">
        <v>100</v>
      </c>
      <c r="C93" s="7">
        <v>11024001</v>
      </c>
      <c r="D93" s="7">
        <v>24</v>
      </c>
      <c r="E93" s="39">
        <v>1</v>
      </c>
      <c r="F93" s="39"/>
      <c r="G93" s="7">
        <v>200</v>
      </c>
      <c r="H93" s="26">
        <v>0</v>
      </c>
      <c r="I93" s="34"/>
      <c r="J93" s="34"/>
      <c r="K93" s="34" t="s">
        <v>1395</v>
      </c>
      <c r="L93" s="34"/>
      <c r="M93" s="34"/>
      <c r="N93" s="8"/>
    </row>
    <row r="94" spans="1:14" x14ac:dyDescent="0.35">
      <c r="A94" s="8"/>
      <c r="B94" s="26">
        <v>100</v>
      </c>
      <c r="C94" s="7">
        <v>11024002</v>
      </c>
      <c r="D94" s="7">
        <v>24</v>
      </c>
      <c r="E94" s="39">
        <v>2</v>
      </c>
      <c r="F94" s="39"/>
      <c r="G94" s="7">
        <v>400</v>
      </c>
      <c r="H94" s="26">
        <v>0</v>
      </c>
      <c r="I94" s="34"/>
      <c r="J94" s="34"/>
      <c r="K94" s="34" t="s">
        <v>1387</v>
      </c>
      <c r="L94" s="34"/>
      <c r="M94" s="34"/>
      <c r="N94" s="8"/>
    </row>
    <row r="95" spans="1:14" x14ac:dyDescent="0.35">
      <c r="A95" s="8"/>
      <c r="B95" s="26">
        <v>100</v>
      </c>
      <c r="C95" s="7">
        <v>11024003</v>
      </c>
      <c r="D95" s="7">
        <v>24</v>
      </c>
      <c r="E95" s="39">
        <v>3</v>
      </c>
      <c r="F95" s="39"/>
      <c r="G95" s="7">
        <v>800</v>
      </c>
      <c r="H95" s="26">
        <v>0</v>
      </c>
      <c r="I95" s="34"/>
      <c r="J95" s="34"/>
      <c r="K95" s="34" t="s">
        <v>1394</v>
      </c>
      <c r="L95" s="34"/>
      <c r="M95" s="34"/>
      <c r="N95" s="8"/>
    </row>
    <row r="96" spans="1:14" x14ac:dyDescent="0.35">
      <c r="A96" s="8"/>
      <c r="B96" s="26">
        <v>100</v>
      </c>
      <c r="C96" s="7">
        <v>11024004</v>
      </c>
      <c r="D96" s="7">
        <v>24</v>
      </c>
      <c r="E96" s="39">
        <v>4</v>
      </c>
      <c r="F96" s="39"/>
      <c r="G96" s="7">
        <v>1600</v>
      </c>
      <c r="H96" s="26">
        <v>0</v>
      </c>
      <c r="I96" s="34"/>
      <c r="J96" s="34"/>
      <c r="K96" s="34" t="s">
        <v>1392</v>
      </c>
      <c r="L96" s="34"/>
      <c r="M96" s="34"/>
      <c r="N96" s="8"/>
    </row>
    <row r="97" spans="1:14" x14ac:dyDescent="0.35">
      <c r="A97" s="8"/>
      <c r="B97" s="26">
        <v>100</v>
      </c>
      <c r="C97" s="7">
        <v>11024005</v>
      </c>
      <c r="D97" s="7">
        <v>24</v>
      </c>
      <c r="E97" s="39">
        <v>5</v>
      </c>
      <c r="F97" s="26" t="b">
        <v>1</v>
      </c>
      <c r="G97" s="7">
        <v>3200</v>
      </c>
      <c r="H97" s="26">
        <v>0</v>
      </c>
      <c r="I97" s="34"/>
      <c r="J97" s="34" t="s">
        <v>1364</v>
      </c>
      <c r="K97" s="34" t="s">
        <v>1396</v>
      </c>
      <c r="L97" s="34"/>
      <c r="M97" s="34"/>
      <c r="N97" s="8"/>
    </row>
    <row r="98" spans="1:14" x14ac:dyDescent="0.35">
      <c r="A98" s="8"/>
      <c r="B98" s="26">
        <v>100</v>
      </c>
      <c r="C98" s="7">
        <v>11024006</v>
      </c>
      <c r="D98" s="7">
        <v>24</v>
      </c>
      <c r="E98" s="39">
        <v>6</v>
      </c>
      <c r="F98" s="39"/>
      <c r="G98" s="7">
        <v>6400</v>
      </c>
      <c r="H98" s="26">
        <v>0</v>
      </c>
      <c r="I98" s="34"/>
      <c r="J98" s="34"/>
      <c r="K98" s="34" t="s">
        <v>1391</v>
      </c>
      <c r="L98" s="34"/>
      <c r="M98" s="34"/>
      <c r="N98" s="8"/>
    </row>
    <row r="99" spans="1:14" x14ac:dyDescent="0.35">
      <c r="A99" s="8"/>
      <c r="B99" s="26">
        <v>100</v>
      </c>
      <c r="C99" s="7">
        <v>11024007</v>
      </c>
      <c r="D99" s="7">
        <v>24</v>
      </c>
      <c r="E99" s="39">
        <v>7</v>
      </c>
      <c r="F99" s="39"/>
      <c r="G99" s="7">
        <v>12800</v>
      </c>
      <c r="H99" s="26">
        <v>0</v>
      </c>
      <c r="I99" s="34"/>
      <c r="J99" s="34"/>
      <c r="K99" s="34" t="s">
        <v>1395</v>
      </c>
      <c r="L99" s="34"/>
      <c r="M99" s="34"/>
      <c r="N99" s="8"/>
    </row>
    <row r="100" spans="1:14" x14ac:dyDescent="0.35">
      <c r="A100" s="8"/>
      <c r="B100" s="26">
        <v>100</v>
      </c>
      <c r="C100" s="7"/>
      <c r="D100" s="7"/>
      <c r="E100" s="7"/>
      <c r="F100" s="7"/>
      <c r="G100" s="7"/>
      <c r="H100" s="7"/>
      <c r="I100" s="34"/>
      <c r="J100" s="34"/>
      <c r="K100" s="34"/>
      <c r="L100" s="34"/>
      <c r="M100" s="34"/>
      <c r="N100" s="8"/>
    </row>
    <row r="101" spans="1:14" x14ac:dyDescent="0.35">
      <c r="A101" s="8"/>
      <c r="B101" s="26">
        <v>100</v>
      </c>
      <c r="C101" s="7"/>
      <c r="D101" s="7"/>
      <c r="E101" s="7"/>
      <c r="F101" s="7"/>
      <c r="G101" s="7"/>
      <c r="H101" s="7"/>
      <c r="I101" s="34"/>
      <c r="J101" s="34"/>
      <c r="K101" s="34"/>
      <c r="L101" s="34"/>
      <c r="M101" s="34"/>
      <c r="N101" s="8"/>
    </row>
    <row r="102" spans="1:14" x14ac:dyDescent="0.35">
      <c r="A102" s="8"/>
      <c r="B102" s="26">
        <v>100</v>
      </c>
      <c r="C102" s="7"/>
      <c r="D102" s="7"/>
      <c r="E102" s="7"/>
      <c r="F102" s="7"/>
      <c r="G102" s="7"/>
      <c r="H102" s="7"/>
      <c r="I102" s="34"/>
      <c r="J102" s="34"/>
      <c r="K102" s="34"/>
      <c r="L102" s="34"/>
      <c r="M102" s="34"/>
      <c r="N102" s="8"/>
    </row>
    <row r="103" spans="1:14" x14ac:dyDescent="0.35">
      <c r="A103" s="8"/>
      <c r="B103" s="26">
        <v>100</v>
      </c>
      <c r="C103" s="7"/>
      <c r="D103" s="7"/>
      <c r="E103" s="7"/>
      <c r="F103" s="7"/>
      <c r="G103" s="7"/>
      <c r="H103" s="7"/>
      <c r="I103" s="34"/>
      <c r="J103" s="34"/>
      <c r="K103" s="34"/>
      <c r="L103" s="34"/>
      <c r="M103" s="34"/>
      <c r="N103" s="8"/>
    </row>
    <row r="104" spans="1:14" x14ac:dyDescent="0.35">
      <c r="A104" s="8"/>
      <c r="B104" s="26">
        <v>100</v>
      </c>
      <c r="C104" s="7"/>
      <c r="D104" s="7"/>
      <c r="E104" s="7"/>
      <c r="F104" s="7"/>
      <c r="G104" s="7"/>
      <c r="H104" s="7"/>
      <c r="I104" s="34"/>
      <c r="J104" s="34"/>
      <c r="K104" s="34"/>
      <c r="L104" s="34"/>
      <c r="M104" s="34"/>
      <c r="N104" s="8"/>
    </row>
    <row r="105" spans="1:14" x14ac:dyDescent="0.35">
      <c r="A105" s="8"/>
      <c r="B105" s="26">
        <v>100</v>
      </c>
      <c r="C105" s="7"/>
      <c r="D105" s="7"/>
      <c r="E105" s="7"/>
      <c r="F105" s="7"/>
      <c r="G105" s="7"/>
      <c r="H105" s="7"/>
      <c r="I105" s="34"/>
      <c r="J105" s="34"/>
      <c r="K105" s="34"/>
      <c r="L105" s="34"/>
      <c r="M105" s="34"/>
      <c r="N105" s="8"/>
    </row>
    <row r="106" spans="1:14" x14ac:dyDescent="0.35">
      <c r="A106" s="8"/>
      <c r="B106" s="26">
        <v>100</v>
      </c>
      <c r="C106" s="7"/>
      <c r="D106" s="7"/>
      <c r="E106" s="7"/>
      <c r="F106" s="7"/>
      <c r="G106" s="7"/>
      <c r="H106" s="7"/>
      <c r="I106" s="34"/>
      <c r="J106" s="34"/>
      <c r="K106" s="34"/>
      <c r="L106" s="34"/>
      <c r="M106" s="34"/>
      <c r="N106" s="8"/>
    </row>
    <row r="107" spans="1:14" x14ac:dyDescent="0.35">
      <c r="A107" s="8"/>
      <c r="B107" s="26">
        <v>100</v>
      </c>
      <c r="C107" s="7"/>
      <c r="D107" s="7"/>
      <c r="E107" s="7"/>
      <c r="F107" s="7"/>
      <c r="G107" s="7"/>
      <c r="H107" s="7"/>
      <c r="I107" s="34"/>
      <c r="J107" s="34"/>
      <c r="K107" s="34"/>
      <c r="L107" s="34"/>
      <c r="M107" s="34"/>
      <c r="N107" s="8"/>
    </row>
    <row r="108" spans="1:14" x14ac:dyDescent="0.35">
      <c r="A108" s="8"/>
      <c r="B108" s="26">
        <v>100</v>
      </c>
      <c r="C108" s="7"/>
      <c r="D108" s="7"/>
      <c r="E108" s="7"/>
      <c r="F108" s="7"/>
      <c r="G108" s="7"/>
      <c r="H108" s="7"/>
      <c r="I108" s="34"/>
      <c r="J108" s="34"/>
      <c r="K108" s="34"/>
      <c r="L108" s="34"/>
      <c r="M108" s="34"/>
      <c r="N108" s="8"/>
    </row>
    <row r="109" spans="1:14" x14ac:dyDescent="0.35">
      <c r="A109" s="8"/>
      <c r="B109" s="26">
        <v>100</v>
      </c>
      <c r="C109" s="7"/>
      <c r="D109" s="7"/>
      <c r="E109" s="7"/>
      <c r="F109" s="7"/>
      <c r="G109" s="7"/>
      <c r="H109" s="7"/>
      <c r="I109" s="34"/>
      <c r="J109" s="34"/>
      <c r="K109" s="34"/>
      <c r="L109" s="34"/>
      <c r="M109" s="34"/>
      <c r="N109" s="8"/>
    </row>
    <row r="110" spans="1:14" x14ac:dyDescent="0.35">
      <c r="A110" s="8"/>
      <c r="B110" s="26">
        <v>100</v>
      </c>
      <c r="C110" s="7"/>
      <c r="D110" s="7"/>
      <c r="E110" s="7"/>
      <c r="F110" s="7"/>
      <c r="G110" s="7"/>
      <c r="H110" s="7"/>
      <c r="I110" s="34"/>
      <c r="J110" s="34"/>
      <c r="K110" s="34"/>
      <c r="L110" s="34"/>
      <c r="M110" s="34"/>
      <c r="N11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EC5A2-FC27-44DC-8498-0C9B1DA326DB}">
  <sheetPr codeName="Sheet20">
    <tabColor rgb="FFC00000"/>
  </sheetPr>
  <dimension ref="A1:K6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7" width="15.625" style="10" customWidth="1"/>
    <col min="8" max="9" width="30.625" style="10" customWidth="1"/>
    <col min="10" max="10" width="15.625" style="10" customWidth="1"/>
    <col min="11" max="11" width="50.625" style="10" customWidth="1"/>
    <col min="12" max="16384" width="10.625" style="10"/>
  </cols>
  <sheetData>
    <row r="1" spans="1:11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38</v>
      </c>
      <c r="G1" s="5" t="s">
        <v>40</v>
      </c>
      <c r="H1" s="5" t="s">
        <v>40</v>
      </c>
      <c r="I1" s="5" t="s">
        <v>49</v>
      </c>
      <c r="J1" s="42" t="s">
        <v>38</v>
      </c>
      <c r="K1" s="6" t="s">
        <v>74</v>
      </c>
    </row>
    <row r="2" spans="1:11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350</v>
      </c>
      <c r="G2" s="2" t="s">
        <v>76</v>
      </c>
      <c r="H2" s="2" t="s">
        <v>159</v>
      </c>
      <c r="I2" s="2" t="s">
        <v>388</v>
      </c>
      <c r="J2" s="43" t="s">
        <v>1521</v>
      </c>
      <c r="K2" s="3" t="s">
        <v>74</v>
      </c>
    </row>
    <row r="3" spans="1:11" x14ac:dyDescent="0.35">
      <c r="A3" s="24" t="s">
        <v>9</v>
      </c>
      <c r="B3" s="25" t="s">
        <v>31</v>
      </c>
      <c r="C3" s="26" t="s">
        <v>389</v>
      </c>
      <c r="D3" s="26" t="s">
        <v>149</v>
      </c>
      <c r="E3" s="26" t="s">
        <v>390</v>
      </c>
      <c r="F3" s="26" t="s">
        <v>391</v>
      </c>
      <c r="G3" s="26" t="s">
        <v>392</v>
      </c>
      <c r="H3" s="26" t="s">
        <v>393</v>
      </c>
      <c r="I3" s="26" t="s">
        <v>394</v>
      </c>
      <c r="J3" s="26" t="s">
        <v>1522</v>
      </c>
      <c r="K3" s="25" t="s">
        <v>80</v>
      </c>
    </row>
    <row r="4" spans="1:11" x14ac:dyDescent="0.35">
      <c r="A4" s="27" t="s">
        <v>104</v>
      </c>
      <c r="B4" s="27"/>
      <c r="C4" s="27" t="s">
        <v>395</v>
      </c>
      <c r="D4" s="27" t="s">
        <v>396</v>
      </c>
      <c r="E4" s="27" t="s">
        <v>3473</v>
      </c>
      <c r="F4" s="27" t="s">
        <v>397</v>
      </c>
      <c r="G4" s="27" t="s">
        <v>398</v>
      </c>
      <c r="H4" s="30" t="s">
        <v>399</v>
      </c>
      <c r="I4" s="30" t="s">
        <v>400</v>
      </c>
      <c r="J4" s="44" t="s">
        <v>1216</v>
      </c>
      <c r="K4" s="27" t="s">
        <v>128</v>
      </c>
    </row>
    <row r="5" spans="1:11" x14ac:dyDescent="0.35">
      <c r="A5" s="28"/>
      <c r="B5" s="26">
        <v>100</v>
      </c>
      <c r="C5" s="26">
        <v>12000101</v>
      </c>
      <c r="D5" s="26"/>
      <c r="E5" s="26">
        <v>0</v>
      </c>
      <c r="F5" s="26">
        <v>1</v>
      </c>
      <c r="G5" s="26" t="s">
        <v>2998</v>
      </c>
      <c r="H5" s="33" t="s">
        <v>3084</v>
      </c>
      <c r="I5" s="9">
        <v>12201040</v>
      </c>
      <c r="J5" s="45"/>
      <c r="K5" s="28"/>
    </row>
    <row r="6" spans="1:11" x14ac:dyDescent="0.35">
      <c r="A6" s="28"/>
      <c r="B6" s="26">
        <v>100</v>
      </c>
      <c r="C6" s="26">
        <v>12000102</v>
      </c>
      <c r="D6" s="26"/>
      <c r="E6" s="26">
        <v>0</v>
      </c>
      <c r="F6" s="26">
        <v>1</v>
      </c>
      <c r="G6" s="26" t="s">
        <v>3085</v>
      </c>
      <c r="H6" s="33" t="s">
        <v>3086</v>
      </c>
      <c r="I6" s="9">
        <v>12201041</v>
      </c>
      <c r="J6" s="45"/>
      <c r="K6" s="28"/>
    </row>
    <row r="7" spans="1:11" x14ac:dyDescent="0.35">
      <c r="A7" s="28"/>
      <c r="B7" s="26">
        <v>100</v>
      </c>
      <c r="C7" s="26">
        <v>12010001</v>
      </c>
      <c r="D7" s="26"/>
      <c r="E7" s="26">
        <v>1</v>
      </c>
      <c r="F7" s="26">
        <v>100</v>
      </c>
      <c r="G7" s="26" t="s">
        <v>2781</v>
      </c>
      <c r="H7" s="33" t="s">
        <v>2782</v>
      </c>
      <c r="I7" s="33"/>
      <c r="J7" s="45"/>
      <c r="K7" s="28"/>
    </row>
    <row r="8" spans="1:11" x14ac:dyDescent="0.35">
      <c r="A8" s="28"/>
      <c r="B8" s="26">
        <v>100</v>
      </c>
      <c r="C8" s="26">
        <v>12010101</v>
      </c>
      <c r="D8" s="26"/>
      <c r="E8" s="26">
        <v>1</v>
      </c>
      <c r="F8" s="26">
        <v>101</v>
      </c>
      <c r="G8" s="26" t="s">
        <v>1217</v>
      </c>
      <c r="H8" s="33" t="s">
        <v>1231</v>
      </c>
      <c r="I8" s="33">
        <v>12201001</v>
      </c>
      <c r="J8" s="45">
        <v>100</v>
      </c>
      <c r="K8" s="28"/>
    </row>
    <row r="9" spans="1:11" x14ac:dyDescent="0.35">
      <c r="A9" s="28"/>
      <c r="B9" s="26">
        <v>100</v>
      </c>
      <c r="C9" s="26">
        <v>12010102</v>
      </c>
      <c r="D9" s="26"/>
      <c r="E9" s="26">
        <v>1</v>
      </c>
      <c r="F9" s="26">
        <v>101</v>
      </c>
      <c r="G9" s="26" t="s">
        <v>1218</v>
      </c>
      <c r="H9" s="33" t="s">
        <v>1232</v>
      </c>
      <c r="I9" s="33">
        <v>12201002</v>
      </c>
      <c r="J9" s="45">
        <v>100</v>
      </c>
      <c r="K9" s="28"/>
    </row>
    <row r="10" spans="1:11" x14ac:dyDescent="0.35">
      <c r="A10" s="28"/>
      <c r="B10" s="26">
        <v>100</v>
      </c>
      <c r="C10" s="26">
        <v>12010103</v>
      </c>
      <c r="D10" s="26"/>
      <c r="E10" s="26">
        <v>1</v>
      </c>
      <c r="F10" s="26">
        <v>101</v>
      </c>
      <c r="G10" s="26" t="s">
        <v>1220</v>
      </c>
      <c r="H10" s="33" t="s">
        <v>1233</v>
      </c>
      <c r="I10" s="33">
        <v>12201003</v>
      </c>
      <c r="J10" s="45">
        <v>0</v>
      </c>
      <c r="K10" s="28"/>
    </row>
    <row r="11" spans="1:11" x14ac:dyDescent="0.35">
      <c r="A11" s="28"/>
      <c r="B11" s="26">
        <v>100</v>
      </c>
      <c r="C11" s="26">
        <v>12010104</v>
      </c>
      <c r="D11" s="26"/>
      <c r="E11" s="26">
        <v>1</v>
      </c>
      <c r="F11" s="26">
        <v>101</v>
      </c>
      <c r="G11" s="26" t="s">
        <v>1219</v>
      </c>
      <c r="H11" s="33" t="s">
        <v>1234</v>
      </c>
      <c r="I11" s="33">
        <v>12201004</v>
      </c>
      <c r="J11" s="45">
        <v>0</v>
      </c>
      <c r="K11" s="28"/>
    </row>
    <row r="12" spans="1:11" x14ac:dyDescent="0.35">
      <c r="A12" s="28"/>
      <c r="B12" s="26">
        <v>100</v>
      </c>
      <c r="C12" s="26">
        <v>12010201</v>
      </c>
      <c r="D12" s="26"/>
      <c r="E12" s="26">
        <v>1</v>
      </c>
      <c r="F12" s="26">
        <v>102</v>
      </c>
      <c r="G12" s="26" t="s">
        <v>1221</v>
      </c>
      <c r="H12" s="33" t="s">
        <v>1235</v>
      </c>
      <c r="I12" s="33">
        <v>12201005</v>
      </c>
      <c r="J12" s="45">
        <v>100</v>
      </c>
      <c r="K12" s="28"/>
    </row>
    <row r="13" spans="1:11" x14ac:dyDescent="0.35">
      <c r="A13" s="28"/>
      <c r="B13" s="26">
        <v>100</v>
      </c>
      <c r="C13" s="26">
        <v>12010202</v>
      </c>
      <c r="D13" s="26"/>
      <c r="E13" s="26">
        <v>1</v>
      </c>
      <c r="F13" s="26">
        <v>102</v>
      </c>
      <c r="G13" s="26" t="s">
        <v>1222</v>
      </c>
      <c r="H13" s="33" t="s">
        <v>1236</v>
      </c>
      <c r="I13" s="33">
        <v>12201006</v>
      </c>
      <c r="J13" s="45">
        <v>100</v>
      </c>
      <c r="K13" s="28"/>
    </row>
    <row r="14" spans="1:11" x14ac:dyDescent="0.35">
      <c r="A14" s="8"/>
      <c r="B14" s="26">
        <v>100</v>
      </c>
      <c r="C14" s="7">
        <v>12010203</v>
      </c>
      <c r="D14" s="7"/>
      <c r="E14" s="26">
        <v>1</v>
      </c>
      <c r="F14" s="7">
        <v>102</v>
      </c>
      <c r="G14" s="7" t="s">
        <v>1224</v>
      </c>
      <c r="H14" s="34" t="s">
        <v>1237</v>
      </c>
      <c r="I14" s="34">
        <v>12201007</v>
      </c>
      <c r="J14" s="46">
        <v>0</v>
      </c>
      <c r="K14" s="8"/>
    </row>
    <row r="15" spans="1:11" x14ac:dyDescent="0.35">
      <c r="A15" s="8"/>
      <c r="B15" s="26">
        <v>100</v>
      </c>
      <c r="C15" s="7">
        <v>12010301</v>
      </c>
      <c r="D15" s="7"/>
      <c r="E15" s="26">
        <v>1</v>
      </c>
      <c r="F15" s="7">
        <v>103</v>
      </c>
      <c r="G15" s="7" t="s">
        <v>1228</v>
      </c>
      <c r="H15" s="34" t="s">
        <v>1238</v>
      </c>
      <c r="I15" s="34">
        <v>12201008</v>
      </c>
      <c r="J15" s="46">
        <v>100</v>
      </c>
      <c r="K15" s="8"/>
    </row>
    <row r="16" spans="1:11" x14ac:dyDescent="0.35">
      <c r="A16" s="8"/>
      <c r="B16" s="26">
        <v>100</v>
      </c>
      <c r="C16" s="7">
        <v>12010302</v>
      </c>
      <c r="D16" s="7"/>
      <c r="E16" s="26">
        <v>1</v>
      </c>
      <c r="F16" s="7">
        <v>103</v>
      </c>
      <c r="G16" s="7" t="s">
        <v>1229</v>
      </c>
      <c r="H16" s="34" t="s">
        <v>1239</v>
      </c>
      <c r="I16" s="34">
        <v>12201009</v>
      </c>
      <c r="J16" s="46">
        <v>100</v>
      </c>
      <c r="K16" s="8"/>
    </row>
    <row r="17" spans="1:11" x14ac:dyDescent="0.35">
      <c r="A17" s="8"/>
      <c r="B17" s="26">
        <v>100</v>
      </c>
      <c r="C17" s="7">
        <v>12010303</v>
      </c>
      <c r="D17" s="7"/>
      <c r="E17" s="26">
        <v>1</v>
      </c>
      <c r="F17" s="7">
        <v>103</v>
      </c>
      <c r="G17" s="7" t="s">
        <v>1225</v>
      </c>
      <c r="H17" s="34" t="s">
        <v>1240</v>
      </c>
      <c r="I17" s="34">
        <v>12201010</v>
      </c>
      <c r="J17" s="46">
        <v>0</v>
      </c>
      <c r="K17" s="8"/>
    </row>
    <row r="18" spans="1:11" x14ac:dyDescent="0.35">
      <c r="A18" s="8"/>
      <c r="B18" s="26">
        <v>100</v>
      </c>
      <c r="C18" s="7">
        <v>12010401</v>
      </c>
      <c r="D18" s="7"/>
      <c r="E18" s="26">
        <v>1</v>
      </c>
      <c r="F18" s="7">
        <v>104</v>
      </c>
      <c r="G18" s="7" t="s">
        <v>1223</v>
      </c>
      <c r="H18" s="34" t="s">
        <v>1241</v>
      </c>
      <c r="I18" s="34">
        <v>12201011</v>
      </c>
      <c r="J18" s="46">
        <v>100</v>
      </c>
      <c r="K18" s="8"/>
    </row>
    <row r="19" spans="1:11" x14ac:dyDescent="0.35">
      <c r="A19" s="8"/>
      <c r="B19" s="26">
        <v>100</v>
      </c>
      <c r="C19" s="7">
        <v>12010402</v>
      </c>
      <c r="D19" s="7"/>
      <c r="E19" s="26">
        <v>1</v>
      </c>
      <c r="F19" s="7">
        <v>104</v>
      </c>
      <c r="G19" s="7" t="s">
        <v>1230</v>
      </c>
      <c r="H19" s="34" t="s">
        <v>1242</v>
      </c>
      <c r="I19" s="34">
        <v>12201012</v>
      </c>
      <c r="J19" s="46">
        <v>100</v>
      </c>
      <c r="K19" s="8"/>
    </row>
    <row r="20" spans="1:11" x14ac:dyDescent="0.35">
      <c r="A20" s="8"/>
      <c r="B20" s="26">
        <v>100</v>
      </c>
      <c r="C20" s="7">
        <v>12010403</v>
      </c>
      <c r="D20" s="7"/>
      <c r="E20" s="7">
        <v>1</v>
      </c>
      <c r="F20" s="7">
        <v>104</v>
      </c>
      <c r="G20" s="7" t="s">
        <v>1226</v>
      </c>
      <c r="H20" s="34" t="s">
        <v>1243</v>
      </c>
      <c r="I20" s="34">
        <v>12201013</v>
      </c>
      <c r="J20" s="46">
        <v>0</v>
      </c>
      <c r="K20" s="8"/>
    </row>
    <row r="21" spans="1:11" x14ac:dyDescent="0.35">
      <c r="A21" s="8"/>
      <c r="B21" s="26">
        <v>100</v>
      </c>
      <c r="C21" s="7">
        <v>12010404</v>
      </c>
      <c r="D21" s="7"/>
      <c r="E21" s="7">
        <v>1</v>
      </c>
      <c r="F21" s="7">
        <v>104</v>
      </c>
      <c r="G21" s="7" t="s">
        <v>1227</v>
      </c>
      <c r="H21" s="34" t="s">
        <v>1244</v>
      </c>
      <c r="I21" s="34">
        <v>12201014</v>
      </c>
      <c r="J21" s="46">
        <v>0</v>
      </c>
      <c r="K21" s="8"/>
    </row>
    <row r="22" spans="1:11" x14ac:dyDescent="0.35">
      <c r="A22" s="8"/>
      <c r="B22" s="26">
        <v>100</v>
      </c>
      <c r="C22" s="7">
        <v>12010501</v>
      </c>
      <c r="D22" s="7"/>
      <c r="E22" s="7">
        <v>1</v>
      </c>
      <c r="F22" s="7">
        <v>105</v>
      </c>
      <c r="G22" s="7" t="s">
        <v>3093</v>
      </c>
      <c r="H22" s="34" t="s">
        <v>3095</v>
      </c>
      <c r="I22" s="34">
        <v>12201015</v>
      </c>
      <c r="J22" s="46"/>
      <c r="K22" s="8"/>
    </row>
    <row r="23" spans="1:11" x14ac:dyDescent="0.35">
      <c r="A23" s="8"/>
      <c r="B23" s="26">
        <v>100</v>
      </c>
      <c r="C23" s="7">
        <v>10210502</v>
      </c>
      <c r="D23" s="7"/>
      <c r="E23" s="7">
        <v>1</v>
      </c>
      <c r="F23" s="7">
        <v>105</v>
      </c>
      <c r="G23" s="7" t="s">
        <v>3094</v>
      </c>
      <c r="H23" s="34" t="s">
        <v>3096</v>
      </c>
      <c r="I23" s="34">
        <v>12201016</v>
      </c>
      <c r="J23" s="46"/>
      <c r="K23" s="8"/>
    </row>
    <row r="24" spans="1:11" x14ac:dyDescent="0.35">
      <c r="A24" s="8"/>
      <c r="B24" s="26">
        <v>100</v>
      </c>
      <c r="C24" s="7">
        <v>12020101</v>
      </c>
      <c r="D24" s="7"/>
      <c r="E24" s="7">
        <v>2</v>
      </c>
      <c r="F24" s="7">
        <v>201</v>
      </c>
      <c r="G24" s="7" t="s">
        <v>1556</v>
      </c>
      <c r="H24" s="34" t="s">
        <v>1570</v>
      </c>
      <c r="I24" s="34">
        <v>12201017</v>
      </c>
      <c r="J24" s="46"/>
      <c r="K24" s="8"/>
    </row>
    <row r="25" spans="1:11" x14ac:dyDescent="0.35">
      <c r="A25" s="8"/>
      <c r="B25" s="26">
        <v>100</v>
      </c>
      <c r="C25" s="7">
        <v>12020102</v>
      </c>
      <c r="D25" s="7"/>
      <c r="E25" s="7">
        <v>2</v>
      </c>
      <c r="F25" s="7">
        <v>201</v>
      </c>
      <c r="G25" s="7" t="s">
        <v>1557</v>
      </c>
      <c r="H25" s="34" t="s">
        <v>1571</v>
      </c>
      <c r="I25" s="34">
        <v>12201018</v>
      </c>
      <c r="J25" s="46"/>
      <c r="K25" s="8"/>
    </row>
    <row r="26" spans="1:11" x14ac:dyDescent="0.35">
      <c r="A26" s="8"/>
      <c r="B26" s="26">
        <v>100</v>
      </c>
      <c r="C26" s="7">
        <v>12020103</v>
      </c>
      <c r="D26" s="7"/>
      <c r="E26" s="7">
        <v>2</v>
      </c>
      <c r="F26" s="7">
        <v>201</v>
      </c>
      <c r="G26" s="7" t="s">
        <v>1560</v>
      </c>
      <c r="H26" s="34" t="s">
        <v>1572</v>
      </c>
      <c r="I26" s="34">
        <v>12201019</v>
      </c>
      <c r="J26" s="46"/>
      <c r="K26" s="8"/>
    </row>
    <row r="27" spans="1:11" x14ac:dyDescent="0.35">
      <c r="A27" s="8"/>
      <c r="B27" s="26">
        <v>100</v>
      </c>
      <c r="C27" s="7">
        <v>12020104</v>
      </c>
      <c r="D27" s="7"/>
      <c r="E27" s="7">
        <v>2</v>
      </c>
      <c r="F27" s="7">
        <v>201</v>
      </c>
      <c r="G27" s="7" t="s">
        <v>1573</v>
      </c>
      <c r="H27" s="34" t="s">
        <v>1574</v>
      </c>
      <c r="I27" s="34">
        <v>12201020</v>
      </c>
      <c r="J27" s="46"/>
      <c r="K27" s="8"/>
    </row>
    <row r="28" spans="1:11" x14ac:dyDescent="0.35">
      <c r="A28" s="8"/>
      <c r="B28" s="26">
        <v>100</v>
      </c>
      <c r="C28" s="7">
        <v>12020201</v>
      </c>
      <c r="D28" s="7"/>
      <c r="E28" s="7">
        <v>2</v>
      </c>
      <c r="F28" s="7">
        <v>202</v>
      </c>
      <c r="G28" s="7" t="s">
        <v>1553</v>
      </c>
      <c r="H28" s="34" t="s">
        <v>1575</v>
      </c>
      <c r="I28" s="34">
        <v>12201021</v>
      </c>
      <c r="J28" s="46"/>
      <c r="K28" s="8"/>
    </row>
    <row r="29" spans="1:11" x14ac:dyDescent="0.35">
      <c r="A29" s="8"/>
      <c r="B29" s="26">
        <v>100</v>
      </c>
      <c r="C29" s="7">
        <v>12020202</v>
      </c>
      <c r="D29" s="7"/>
      <c r="E29" s="7">
        <v>2</v>
      </c>
      <c r="F29" s="7">
        <v>202</v>
      </c>
      <c r="G29" s="7" t="s">
        <v>1558</v>
      </c>
      <c r="H29" s="34" t="s">
        <v>1576</v>
      </c>
      <c r="I29" s="34">
        <v>12201022</v>
      </c>
      <c r="J29" s="46"/>
      <c r="K29" s="8"/>
    </row>
    <row r="30" spans="1:11" x14ac:dyDescent="0.35">
      <c r="A30" s="8"/>
      <c r="B30" s="26">
        <v>100</v>
      </c>
      <c r="C30" s="7">
        <v>12020203</v>
      </c>
      <c r="D30" s="7"/>
      <c r="E30" s="7">
        <v>2</v>
      </c>
      <c r="F30" s="7">
        <v>202</v>
      </c>
      <c r="G30" s="7" t="s">
        <v>1561</v>
      </c>
      <c r="H30" s="34" t="s">
        <v>1577</v>
      </c>
      <c r="I30" s="34">
        <v>12201023</v>
      </c>
      <c r="J30" s="46"/>
      <c r="K30" s="8"/>
    </row>
    <row r="31" spans="1:11" x14ac:dyDescent="0.35">
      <c r="A31" s="8"/>
      <c r="B31" s="26">
        <v>100</v>
      </c>
      <c r="C31" s="7">
        <v>12020204</v>
      </c>
      <c r="D31" s="7"/>
      <c r="E31" s="7">
        <v>2</v>
      </c>
      <c r="F31" s="7">
        <v>202</v>
      </c>
      <c r="G31" s="7" t="s">
        <v>1559</v>
      </c>
      <c r="H31" s="34" t="s">
        <v>1578</v>
      </c>
      <c r="I31" s="34">
        <v>12201024</v>
      </c>
      <c r="J31" s="46"/>
      <c r="K31" s="8"/>
    </row>
    <row r="32" spans="1:11" x14ac:dyDescent="0.35">
      <c r="A32" s="8"/>
      <c r="B32" s="26">
        <v>100</v>
      </c>
      <c r="C32" s="7">
        <v>12020301</v>
      </c>
      <c r="D32" s="7"/>
      <c r="E32" s="7">
        <v>2</v>
      </c>
      <c r="F32" s="7">
        <v>203</v>
      </c>
      <c r="G32" s="7" t="s">
        <v>1554</v>
      </c>
      <c r="H32" s="34" t="s">
        <v>1579</v>
      </c>
      <c r="I32" s="34">
        <v>12201025</v>
      </c>
      <c r="J32" s="46"/>
      <c r="K32" s="8"/>
    </row>
    <row r="33" spans="1:11" x14ac:dyDescent="0.35">
      <c r="A33" s="8"/>
      <c r="B33" s="26">
        <v>100</v>
      </c>
      <c r="C33" s="7">
        <v>12020302</v>
      </c>
      <c r="D33" s="7"/>
      <c r="E33" s="7">
        <v>2</v>
      </c>
      <c r="F33" s="7">
        <v>203</v>
      </c>
      <c r="G33" s="7" t="s">
        <v>1580</v>
      </c>
      <c r="H33" s="34" t="s">
        <v>1581</v>
      </c>
      <c r="I33" s="34">
        <v>12201026</v>
      </c>
      <c r="J33" s="46"/>
      <c r="K33" s="8"/>
    </row>
    <row r="34" spans="1:11" x14ac:dyDescent="0.35">
      <c r="A34" s="8"/>
      <c r="B34" s="26">
        <v>100</v>
      </c>
      <c r="C34" s="7">
        <v>12020303</v>
      </c>
      <c r="D34" s="7"/>
      <c r="E34" s="7">
        <v>2</v>
      </c>
      <c r="F34" s="7">
        <v>203</v>
      </c>
      <c r="G34" s="7" t="s">
        <v>1582</v>
      </c>
      <c r="H34" s="34" t="s">
        <v>1587</v>
      </c>
      <c r="I34" s="34">
        <v>12201027</v>
      </c>
      <c r="J34" s="46"/>
      <c r="K34" s="8"/>
    </row>
    <row r="35" spans="1:11" x14ac:dyDescent="0.35">
      <c r="A35" s="8"/>
      <c r="B35" s="26">
        <v>100</v>
      </c>
      <c r="C35" s="7">
        <v>12020304</v>
      </c>
      <c r="D35" s="7"/>
      <c r="E35" s="7">
        <v>2</v>
      </c>
      <c r="F35" s="7">
        <v>203</v>
      </c>
      <c r="G35" s="7" t="s">
        <v>1583</v>
      </c>
      <c r="H35" s="34" t="s">
        <v>1588</v>
      </c>
      <c r="I35" s="34">
        <v>12201028</v>
      </c>
      <c r="J35" s="46"/>
      <c r="K35" s="8"/>
    </row>
    <row r="36" spans="1:11" x14ac:dyDescent="0.35">
      <c r="A36" s="8"/>
      <c r="B36" s="26">
        <v>100</v>
      </c>
      <c r="C36" s="7">
        <v>12020401</v>
      </c>
      <c r="D36" s="7"/>
      <c r="E36" s="7">
        <v>2</v>
      </c>
      <c r="F36" s="7">
        <v>204</v>
      </c>
      <c r="G36" s="7" t="s">
        <v>1555</v>
      </c>
      <c r="H36" s="34" t="s">
        <v>1589</v>
      </c>
      <c r="I36" s="34">
        <v>12201029</v>
      </c>
      <c r="J36" s="46"/>
      <c r="K36" s="8"/>
    </row>
    <row r="37" spans="1:11" x14ac:dyDescent="0.35">
      <c r="A37" s="8"/>
      <c r="B37" s="26">
        <v>100</v>
      </c>
      <c r="C37" s="7">
        <v>12020402</v>
      </c>
      <c r="D37" s="7"/>
      <c r="E37" s="7">
        <v>2</v>
      </c>
      <c r="F37" s="7">
        <v>204</v>
      </c>
      <c r="G37" s="7" t="s">
        <v>1584</v>
      </c>
      <c r="H37" s="34" t="s">
        <v>1590</v>
      </c>
      <c r="I37" s="34">
        <v>12201030</v>
      </c>
      <c r="J37" s="46"/>
      <c r="K37" s="8"/>
    </row>
    <row r="38" spans="1:11" x14ac:dyDescent="0.35">
      <c r="A38" s="8"/>
      <c r="B38" s="26">
        <v>100</v>
      </c>
      <c r="C38" s="7">
        <v>12020403</v>
      </c>
      <c r="D38" s="7"/>
      <c r="E38" s="7">
        <v>2</v>
      </c>
      <c r="F38" s="7">
        <v>204</v>
      </c>
      <c r="G38" s="7" t="s">
        <v>1585</v>
      </c>
      <c r="H38" s="34" t="s">
        <v>1591</v>
      </c>
      <c r="I38" s="34">
        <v>12201031</v>
      </c>
      <c r="J38" s="46"/>
      <c r="K38" s="8"/>
    </row>
    <row r="39" spans="1:11" x14ac:dyDescent="0.35">
      <c r="A39" s="8"/>
      <c r="B39" s="26">
        <v>100</v>
      </c>
      <c r="C39" s="7">
        <v>12020404</v>
      </c>
      <c r="D39" s="7"/>
      <c r="E39" s="7">
        <v>2</v>
      </c>
      <c r="F39" s="7">
        <v>204</v>
      </c>
      <c r="G39" s="7" t="s">
        <v>1586</v>
      </c>
      <c r="H39" s="34" t="s">
        <v>1592</v>
      </c>
      <c r="I39" s="34">
        <v>12201032</v>
      </c>
      <c r="J39" s="46"/>
      <c r="K39" s="8"/>
    </row>
    <row r="40" spans="1:11" x14ac:dyDescent="0.35">
      <c r="A40" s="8"/>
      <c r="B40" s="26">
        <v>100</v>
      </c>
      <c r="C40" s="7">
        <v>12020901</v>
      </c>
      <c r="D40" s="7"/>
      <c r="E40" s="7">
        <v>2</v>
      </c>
      <c r="F40" s="7">
        <v>209</v>
      </c>
      <c r="G40" s="7" t="s">
        <v>2796</v>
      </c>
      <c r="H40" s="34" t="s">
        <v>2801</v>
      </c>
      <c r="I40" s="34">
        <v>12201033</v>
      </c>
      <c r="J40" s="46"/>
      <c r="K40" s="8"/>
    </row>
    <row r="41" spans="1:11" x14ac:dyDescent="0.35">
      <c r="A41" s="8"/>
      <c r="B41" s="26">
        <v>100</v>
      </c>
      <c r="C41" s="7">
        <v>12020902</v>
      </c>
      <c r="D41" s="7"/>
      <c r="E41" s="7">
        <v>2</v>
      </c>
      <c r="F41" s="7">
        <v>209</v>
      </c>
      <c r="G41" s="7" t="s">
        <v>2800</v>
      </c>
      <c r="H41" s="34" t="s">
        <v>2802</v>
      </c>
      <c r="I41" s="34">
        <v>12201034</v>
      </c>
      <c r="J41" s="46"/>
      <c r="K41" s="8"/>
    </row>
    <row r="42" spans="1:11" x14ac:dyDescent="0.35">
      <c r="A42" s="8"/>
      <c r="B42" s="26">
        <v>100</v>
      </c>
      <c r="C42" s="7">
        <v>12020903</v>
      </c>
      <c r="D42" s="7"/>
      <c r="E42" s="7">
        <v>2</v>
      </c>
      <c r="F42" s="7">
        <v>209</v>
      </c>
      <c r="G42" s="7" t="s">
        <v>2799</v>
      </c>
      <c r="H42" s="34" t="s">
        <v>2803</v>
      </c>
      <c r="I42" s="34">
        <v>12201035</v>
      </c>
      <c r="J42" s="46"/>
      <c r="K42" s="8"/>
    </row>
    <row r="43" spans="1:11" x14ac:dyDescent="0.35">
      <c r="A43" s="8"/>
      <c r="B43" s="26">
        <v>100</v>
      </c>
      <c r="C43" s="7">
        <v>12030101</v>
      </c>
      <c r="D43" s="7"/>
      <c r="E43" s="7">
        <v>3</v>
      </c>
      <c r="F43" s="7">
        <v>301</v>
      </c>
      <c r="G43" s="7" t="s">
        <v>2310</v>
      </c>
      <c r="H43" s="34" t="s">
        <v>2333</v>
      </c>
      <c r="I43" s="34">
        <v>12201036</v>
      </c>
      <c r="J43" s="46"/>
      <c r="K43" s="8" t="s">
        <v>2314</v>
      </c>
    </row>
    <row r="44" spans="1:11" x14ac:dyDescent="0.35">
      <c r="A44" s="8"/>
      <c r="B44" s="26">
        <v>100</v>
      </c>
      <c r="C44" s="7">
        <v>12030102</v>
      </c>
      <c r="D44" s="7"/>
      <c r="E44" s="7">
        <v>3</v>
      </c>
      <c r="F44" s="7">
        <v>301</v>
      </c>
      <c r="G44" s="7" t="s">
        <v>2311</v>
      </c>
      <c r="H44" s="34" t="s">
        <v>2334</v>
      </c>
      <c r="I44" s="34">
        <v>12201037</v>
      </c>
      <c r="J44" s="46"/>
      <c r="K44" s="8" t="s">
        <v>2316</v>
      </c>
    </row>
    <row r="45" spans="1:11" x14ac:dyDescent="0.35">
      <c r="A45" s="8"/>
      <c r="B45" s="26">
        <v>100</v>
      </c>
      <c r="C45" s="7">
        <v>12030103</v>
      </c>
      <c r="D45" s="7"/>
      <c r="E45" s="7">
        <v>3</v>
      </c>
      <c r="F45" s="7">
        <v>301</v>
      </c>
      <c r="G45" s="7" t="s">
        <v>2312</v>
      </c>
      <c r="H45" s="34" t="s">
        <v>2335</v>
      </c>
      <c r="I45" s="34">
        <v>12201038</v>
      </c>
      <c r="J45" s="46"/>
      <c r="K45" s="8" t="s">
        <v>2318</v>
      </c>
    </row>
    <row r="46" spans="1:11" x14ac:dyDescent="0.35">
      <c r="A46" s="8"/>
      <c r="B46" s="26">
        <v>100</v>
      </c>
      <c r="C46" s="7">
        <v>12030104</v>
      </c>
      <c r="D46" s="7"/>
      <c r="E46" s="7">
        <v>3</v>
      </c>
      <c r="F46" s="7">
        <v>301</v>
      </c>
      <c r="G46" s="7" t="s">
        <v>2313</v>
      </c>
      <c r="H46" s="34" t="s">
        <v>2336</v>
      </c>
      <c r="I46" s="34">
        <v>12201039</v>
      </c>
      <c r="J46" s="46"/>
      <c r="K46" s="8" t="s">
        <v>2320</v>
      </c>
    </row>
    <row r="47" spans="1:11" x14ac:dyDescent="0.35">
      <c r="A47" s="8"/>
      <c r="B47" s="26">
        <v>100</v>
      </c>
      <c r="C47" s="7">
        <v>12040101</v>
      </c>
      <c r="D47" s="7"/>
      <c r="E47" s="7">
        <v>4</v>
      </c>
      <c r="F47" s="7">
        <v>401</v>
      </c>
      <c r="G47" s="7" t="s">
        <v>3474</v>
      </c>
      <c r="H47" s="34" t="s">
        <v>3483</v>
      </c>
      <c r="I47" s="34"/>
      <c r="J47" s="46"/>
      <c r="K47" s="8"/>
    </row>
    <row r="48" spans="1:11" x14ac:dyDescent="0.35">
      <c r="A48" s="8"/>
      <c r="B48" s="26">
        <v>100</v>
      </c>
      <c r="C48" s="7">
        <v>12040201</v>
      </c>
      <c r="D48" s="7"/>
      <c r="E48" s="7">
        <v>4</v>
      </c>
      <c r="F48" s="7">
        <v>402</v>
      </c>
      <c r="G48" s="7" t="s">
        <v>3475</v>
      </c>
      <c r="H48" s="34" t="s">
        <v>3484</v>
      </c>
      <c r="I48" s="34"/>
      <c r="J48" s="46"/>
      <c r="K48" s="8"/>
    </row>
    <row r="49" spans="1:11" x14ac:dyDescent="0.35">
      <c r="A49" s="8"/>
      <c r="B49" s="26">
        <v>100</v>
      </c>
      <c r="C49" s="7">
        <v>12040202</v>
      </c>
      <c r="D49" s="7"/>
      <c r="E49" s="7">
        <v>4</v>
      </c>
      <c r="F49" s="7">
        <v>402</v>
      </c>
      <c r="G49" s="7" t="s">
        <v>3476</v>
      </c>
      <c r="H49" s="34" t="s">
        <v>3485</v>
      </c>
      <c r="I49" s="34"/>
      <c r="J49" s="46"/>
      <c r="K49" s="8"/>
    </row>
    <row r="50" spans="1:11" x14ac:dyDescent="0.35">
      <c r="A50" s="8"/>
      <c r="B50" s="26">
        <v>100</v>
      </c>
      <c r="C50" s="7">
        <v>12040203</v>
      </c>
      <c r="D50" s="7"/>
      <c r="E50" s="7">
        <v>4</v>
      </c>
      <c r="F50" s="7">
        <v>402</v>
      </c>
      <c r="G50" s="7" t="s">
        <v>3477</v>
      </c>
      <c r="H50" s="34" t="s">
        <v>3486</v>
      </c>
      <c r="I50" s="34"/>
      <c r="J50" s="46"/>
      <c r="K50" s="8"/>
    </row>
    <row r="51" spans="1:11" x14ac:dyDescent="0.35">
      <c r="A51" s="8"/>
      <c r="B51" s="26">
        <v>100</v>
      </c>
      <c r="C51" s="7">
        <v>12040204</v>
      </c>
      <c r="D51" s="7"/>
      <c r="E51" s="7">
        <v>4</v>
      </c>
      <c r="F51" s="7">
        <v>402</v>
      </c>
      <c r="G51" s="7" t="s">
        <v>3478</v>
      </c>
      <c r="H51" s="34" t="s">
        <v>3487</v>
      </c>
      <c r="I51" s="34"/>
      <c r="J51" s="46"/>
      <c r="K51" s="8"/>
    </row>
    <row r="52" spans="1:11" x14ac:dyDescent="0.35">
      <c r="A52" s="8"/>
      <c r="B52" s="26">
        <v>100</v>
      </c>
      <c r="C52" s="7">
        <v>12040205</v>
      </c>
      <c r="D52" s="7"/>
      <c r="E52" s="7">
        <v>4</v>
      </c>
      <c r="F52" s="7">
        <v>402</v>
      </c>
      <c r="G52" s="7" t="s">
        <v>3479</v>
      </c>
      <c r="H52" s="34" t="s">
        <v>3488</v>
      </c>
      <c r="I52" s="34"/>
      <c r="J52" s="46"/>
      <c r="K52" s="8"/>
    </row>
    <row r="53" spans="1:11" x14ac:dyDescent="0.35">
      <c r="A53" s="8"/>
      <c r="B53" s="26">
        <v>100</v>
      </c>
      <c r="C53" s="7">
        <v>12040206</v>
      </c>
      <c r="D53" s="7"/>
      <c r="E53" s="7">
        <v>4</v>
      </c>
      <c r="F53" s="7">
        <v>402</v>
      </c>
      <c r="G53" s="7" t="s">
        <v>3480</v>
      </c>
      <c r="H53" s="34" t="s">
        <v>3489</v>
      </c>
      <c r="I53" s="34"/>
      <c r="J53" s="46"/>
      <c r="K53" s="8"/>
    </row>
    <row r="54" spans="1:11" x14ac:dyDescent="0.35">
      <c r="A54" s="8"/>
      <c r="B54" s="26">
        <v>100</v>
      </c>
      <c r="C54" s="7"/>
      <c r="D54" s="7"/>
      <c r="E54" s="7">
        <v>4</v>
      </c>
      <c r="F54" s="7"/>
      <c r="G54" s="7"/>
      <c r="H54" s="34"/>
      <c r="I54" s="34"/>
      <c r="J54" s="46"/>
      <c r="K54" s="8"/>
    </row>
    <row r="55" spans="1:11" x14ac:dyDescent="0.35">
      <c r="A55" s="8"/>
      <c r="B55" s="26">
        <v>100</v>
      </c>
      <c r="C55" s="7"/>
      <c r="D55" s="7"/>
      <c r="E55" s="7">
        <v>4</v>
      </c>
      <c r="F55" s="7"/>
      <c r="G55" s="7"/>
      <c r="H55" s="34"/>
      <c r="I55" s="34"/>
      <c r="J55" s="46"/>
      <c r="K55" s="8"/>
    </row>
    <row r="56" spans="1:11" x14ac:dyDescent="0.35">
      <c r="A56" s="8"/>
      <c r="B56" s="26">
        <v>100</v>
      </c>
      <c r="C56" s="7"/>
      <c r="D56" s="7"/>
      <c r="E56" s="7">
        <v>4</v>
      </c>
      <c r="F56" s="7"/>
      <c r="G56" s="7"/>
      <c r="H56" s="34"/>
      <c r="I56" s="34"/>
      <c r="J56" s="46"/>
      <c r="K56" s="8"/>
    </row>
    <row r="57" spans="1:11" x14ac:dyDescent="0.35">
      <c r="A57" s="8"/>
      <c r="B57" s="26">
        <v>100</v>
      </c>
      <c r="C57" s="7"/>
      <c r="D57" s="7"/>
      <c r="E57" s="7">
        <v>4</v>
      </c>
      <c r="F57" s="7"/>
      <c r="G57" s="7"/>
      <c r="H57" s="34"/>
      <c r="I57" s="34"/>
      <c r="J57" s="46"/>
      <c r="K57" s="8"/>
    </row>
    <row r="58" spans="1:11" x14ac:dyDescent="0.35">
      <c r="A58" s="8"/>
      <c r="B58" s="26">
        <v>100</v>
      </c>
      <c r="C58" s="7"/>
      <c r="D58" s="7"/>
      <c r="E58" s="7">
        <v>4</v>
      </c>
      <c r="F58" s="7"/>
      <c r="G58" s="7"/>
      <c r="H58" s="34"/>
      <c r="I58" s="34"/>
      <c r="J58" s="46"/>
      <c r="K58" s="8"/>
    </row>
    <row r="59" spans="1:11" x14ac:dyDescent="0.35">
      <c r="A59" s="8"/>
      <c r="B59" s="26">
        <v>100</v>
      </c>
      <c r="C59" s="7"/>
      <c r="D59" s="7"/>
      <c r="E59" s="7">
        <v>4</v>
      </c>
      <c r="F59" s="7"/>
      <c r="G59" s="7"/>
      <c r="H59" s="34"/>
      <c r="I59" s="34"/>
      <c r="J59" s="46"/>
      <c r="K59" s="8"/>
    </row>
    <row r="60" spans="1:11" x14ac:dyDescent="0.35">
      <c r="A60" s="8"/>
      <c r="B60" s="26">
        <v>100</v>
      </c>
      <c r="C60" s="7"/>
      <c r="D60" s="7"/>
      <c r="E60" s="7">
        <v>4</v>
      </c>
      <c r="F60" s="7"/>
      <c r="G60" s="7"/>
      <c r="H60" s="34"/>
      <c r="I60" s="34"/>
      <c r="J60" s="46"/>
      <c r="K6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B87CA-926C-4A0A-9F70-D3D6884B5551}">
  <sheetPr codeName="Sheet21">
    <tabColor theme="0" tint="-0.499984740745262"/>
  </sheetPr>
  <dimension ref="A1:J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9" width="15.625" style="10" customWidth="1"/>
    <col min="10" max="10" width="50.625" style="10" customWidth="1"/>
    <col min="11" max="16384" width="10.625" style="10"/>
  </cols>
  <sheetData>
    <row r="1" spans="1:10" x14ac:dyDescent="0.35">
      <c r="A1" s="11" t="s">
        <v>3</v>
      </c>
      <c r="B1" s="4" t="s">
        <v>74</v>
      </c>
      <c r="C1" s="5" t="s">
        <v>38</v>
      </c>
      <c r="D1" s="5" t="s">
        <v>98</v>
      </c>
      <c r="E1" s="5" t="s">
        <v>98</v>
      </c>
      <c r="F1" s="5" t="s">
        <v>98</v>
      </c>
      <c r="G1" s="5" t="s">
        <v>101</v>
      </c>
      <c r="H1" s="5" t="s">
        <v>40</v>
      </c>
      <c r="I1" s="5" t="s">
        <v>98</v>
      </c>
      <c r="J1" s="6" t="s">
        <v>74</v>
      </c>
    </row>
    <row r="2" spans="1:10" x14ac:dyDescent="0.35">
      <c r="A2" s="12" t="s">
        <v>6</v>
      </c>
      <c r="B2" s="1" t="s">
        <v>30</v>
      </c>
      <c r="C2" s="2" t="s">
        <v>33</v>
      </c>
      <c r="D2" s="2" t="s">
        <v>97</v>
      </c>
      <c r="E2" s="2" t="s">
        <v>76</v>
      </c>
      <c r="F2" s="2" t="s">
        <v>102</v>
      </c>
      <c r="G2" s="2" t="s">
        <v>100</v>
      </c>
      <c r="H2" s="2" t="s">
        <v>77</v>
      </c>
      <c r="I2" s="2" t="s">
        <v>77</v>
      </c>
      <c r="J2" s="3" t="s">
        <v>74</v>
      </c>
    </row>
    <row r="3" spans="1:10" x14ac:dyDescent="0.35">
      <c r="A3" s="24" t="s">
        <v>9</v>
      </c>
      <c r="B3" s="25" t="s">
        <v>31</v>
      </c>
      <c r="C3" s="26" t="s">
        <v>34</v>
      </c>
      <c r="D3" s="26" t="s">
        <v>99</v>
      </c>
      <c r="E3" s="26" t="s">
        <v>120</v>
      </c>
      <c r="F3" s="26" t="s">
        <v>103</v>
      </c>
      <c r="G3" s="26" t="s">
        <v>121</v>
      </c>
      <c r="H3" s="26" t="s">
        <v>78</v>
      </c>
      <c r="I3" s="26" t="s">
        <v>79</v>
      </c>
      <c r="J3" s="25" t="s">
        <v>80</v>
      </c>
    </row>
    <row r="4" spans="1:10" x14ac:dyDescent="0.35">
      <c r="A4" s="27" t="s">
        <v>104</v>
      </c>
      <c r="B4" s="27"/>
      <c r="C4" s="27" t="s">
        <v>122</v>
      </c>
      <c r="D4" s="27" t="s">
        <v>123</v>
      </c>
      <c r="E4" s="27" t="s">
        <v>124</v>
      </c>
      <c r="F4" s="27" t="s">
        <v>125</v>
      </c>
      <c r="G4" s="27" t="s">
        <v>126</v>
      </c>
      <c r="H4" s="27" t="s">
        <v>127</v>
      </c>
      <c r="I4" s="27" t="s">
        <v>127</v>
      </c>
      <c r="J4" s="27" t="s">
        <v>128</v>
      </c>
    </row>
    <row r="5" spans="1:10" x14ac:dyDescent="0.35">
      <c r="A5" s="28"/>
      <c r="B5" s="26">
        <v>100</v>
      </c>
      <c r="C5" s="26"/>
      <c r="D5" s="26"/>
      <c r="E5" s="26"/>
      <c r="F5" s="29"/>
      <c r="G5" s="29"/>
      <c r="H5" s="26"/>
      <c r="I5" s="26"/>
      <c r="J5" s="28" t="s">
        <v>129</v>
      </c>
    </row>
    <row r="6" spans="1:10" x14ac:dyDescent="0.35">
      <c r="A6" s="28"/>
      <c r="B6" s="26">
        <v>200</v>
      </c>
      <c r="C6" s="26"/>
      <c r="D6" s="26"/>
      <c r="E6" s="26"/>
      <c r="F6" s="29"/>
      <c r="G6" s="29"/>
      <c r="H6" s="26"/>
      <c r="I6" s="26"/>
      <c r="J6" s="28" t="s">
        <v>130</v>
      </c>
    </row>
    <row r="7" spans="1:10" x14ac:dyDescent="0.35">
      <c r="A7" s="28"/>
      <c r="B7" s="26">
        <v>300</v>
      </c>
      <c r="C7" s="26"/>
      <c r="D7" s="26"/>
      <c r="E7" s="26"/>
      <c r="F7" s="29"/>
      <c r="G7" s="29"/>
      <c r="H7" s="26"/>
      <c r="I7" s="26"/>
      <c r="J7" s="28" t="s">
        <v>131</v>
      </c>
    </row>
    <row r="8" spans="1:10" x14ac:dyDescent="0.35">
      <c r="A8" s="28"/>
      <c r="B8" s="26"/>
      <c r="C8" s="26"/>
      <c r="D8" s="26"/>
      <c r="E8" s="26"/>
      <c r="F8" s="29"/>
      <c r="G8" s="29"/>
      <c r="H8" s="26"/>
      <c r="I8" s="26"/>
      <c r="J8" s="28"/>
    </row>
    <row r="9" spans="1:10" x14ac:dyDescent="0.35">
      <c r="A9" s="28"/>
      <c r="B9" s="26"/>
      <c r="C9" s="26"/>
      <c r="D9" s="26"/>
      <c r="E9" s="26"/>
      <c r="F9" s="29"/>
      <c r="G9" s="29"/>
      <c r="H9" s="26"/>
      <c r="I9" s="26"/>
      <c r="J9" s="28"/>
    </row>
    <row r="10" spans="1:10" x14ac:dyDescent="0.35">
      <c r="A10" s="28"/>
      <c r="B10" s="26"/>
      <c r="C10" s="26"/>
      <c r="D10" s="26"/>
      <c r="E10" s="26"/>
      <c r="F10" s="29"/>
      <c r="G10" s="29"/>
      <c r="H10" s="26"/>
      <c r="I10" s="26"/>
      <c r="J10" s="28"/>
    </row>
    <row r="11" spans="1:10" x14ac:dyDescent="0.35">
      <c r="A11" s="8"/>
      <c r="B11" s="7"/>
      <c r="C11" s="7"/>
      <c r="D11" s="7"/>
      <c r="E11" s="7"/>
      <c r="F11" s="7"/>
      <c r="G11" s="9"/>
      <c r="H11" s="7"/>
      <c r="I11" s="7"/>
      <c r="J11" s="8"/>
    </row>
    <row r="12" spans="1:10" x14ac:dyDescent="0.35">
      <c r="A12" s="8"/>
      <c r="B12" s="7"/>
      <c r="C12" s="7"/>
      <c r="D12" s="7"/>
      <c r="E12" s="7"/>
      <c r="F12" s="7"/>
      <c r="G12" s="9"/>
      <c r="H12" s="7"/>
      <c r="I12" s="7"/>
      <c r="J12" s="8"/>
    </row>
    <row r="13" spans="1:10" x14ac:dyDescent="0.35">
      <c r="A13" s="8"/>
      <c r="B13" s="7"/>
      <c r="C13" s="7"/>
      <c r="D13" s="7"/>
      <c r="E13" s="7"/>
      <c r="F13" s="7"/>
      <c r="G13" s="9"/>
      <c r="H13" s="7"/>
      <c r="I13" s="7"/>
      <c r="J13" s="8"/>
    </row>
    <row r="14" spans="1:10" x14ac:dyDescent="0.35">
      <c r="A14" s="8"/>
      <c r="B14" s="7"/>
      <c r="C14" s="7"/>
      <c r="D14" s="7"/>
      <c r="E14" s="7"/>
      <c r="F14" s="7"/>
      <c r="G14" s="9"/>
      <c r="H14" s="7"/>
      <c r="I14" s="7"/>
      <c r="J14" s="8"/>
    </row>
    <row r="15" spans="1:10" x14ac:dyDescent="0.35">
      <c r="A15" s="8"/>
      <c r="B15" s="7"/>
      <c r="C15" s="7"/>
      <c r="D15" s="7"/>
      <c r="E15" s="7"/>
      <c r="F15" s="7"/>
      <c r="G15" s="9"/>
      <c r="H15" s="7"/>
      <c r="I15" s="7"/>
      <c r="J15" s="8"/>
    </row>
    <row r="16" spans="1:10" x14ac:dyDescent="0.35">
      <c r="A16" s="8"/>
      <c r="B16" s="7"/>
      <c r="C16" s="7"/>
      <c r="D16" s="7"/>
      <c r="E16" s="7"/>
      <c r="F16" s="7"/>
      <c r="G16" s="9"/>
      <c r="H16" s="7"/>
      <c r="I16" s="7"/>
      <c r="J16" s="8"/>
    </row>
    <row r="17" spans="1:10" x14ac:dyDescent="0.35">
      <c r="A17" s="8"/>
      <c r="B17" s="7"/>
      <c r="C17" s="7"/>
      <c r="D17" s="7"/>
      <c r="E17" s="7"/>
      <c r="F17" s="7"/>
      <c r="G17" s="9"/>
      <c r="H17" s="7"/>
      <c r="I17" s="7"/>
      <c r="J17" s="8"/>
    </row>
    <row r="18" spans="1:10" x14ac:dyDescent="0.35">
      <c r="A18" s="8"/>
      <c r="B18" s="7"/>
      <c r="C18" s="7"/>
      <c r="D18" s="7"/>
      <c r="E18" s="7"/>
      <c r="F18" s="7"/>
      <c r="G18" s="9"/>
      <c r="H18" s="7"/>
      <c r="I18" s="7"/>
      <c r="J18" s="8"/>
    </row>
    <row r="19" spans="1:10" x14ac:dyDescent="0.35">
      <c r="A19" s="8"/>
      <c r="B19" s="7"/>
      <c r="C19" s="7"/>
      <c r="D19" s="7"/>
      <c r="E19" s="7"/>
      <c r="F19" s="7"/>
      <c r="G19" s="9"/>
      <c r="H19" s="7"/>
      <c r="I19" s="7"/>
      <c r="J19" s="8"/>
    </row>
    <row r="20" spans="1:10" x14ac:dyDescent="0.35">
      <c r="A20" s="8"/>
      <c r="B20" s="7"/>
      <c r="C20" s="7"/>
      <c r="D20" s="7"/>
      <c r="E20" s="7"/>
      <c r="F20" s="7"/>
      <c r="G20" s="9"/>
      <c r="H20" s="7"/>
      <c r="I20" s="7"/>
      <c r="J20" s="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74012-7B7E-40A8-93AF-3F586BBF8549}">
  <sheetPr codeName="Sheet22">
    <tabColor rgb="FFC00000"/>
  </sheetPr>
  <dimension ref="A1:J5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5" width="15.625" style="10" customWidth="1"/>
    <col min="6" max="7" width="30.625" style="10" customWidth="1"/>
    <col min="8" max="8" width="50.625" style="10" customWidth="1"/>
    <col min="9" max="9" width="30.625" style="10" customWidth="1"/>
    <col min="10" max="10" width="50.625" style="10" customWidth="1"/>
    <col min="11" max="16384" width="10.625" style="10"/>
  </cols>
  <sheetData>
    <row r="1" spans="1:10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40</v>
      </c>
      <c r="F1" s="5" t="s">
        <v>40</v>
      </c>
      <c r="G1" s="5" t="s">
        <v>40</v>
      </c>
      <c r="H1" s="5" t="s">
        <v>1680</v>
      </c>
      <c r="I1" s="5" t="s">
        <v>55</v>
      </c>
      <c r="J1" s="6" t="s">
        <v>74</v>
      </c>
    </row>
    <row r="2" spans="1:10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76</v>
      </c>
      <c r="F2" s="2" t="s">
        <v>159</v>
      </c>
      <c r="G2" s="2" t="s">
        <v>1681</v>
      </c>
      <c r="H2" s="2" t="s">
        <v>1682</v>
      </c>
      <c r="I2" s="2" t="s">
        <v>1683</v>
      </c>
      <c r="J2" s="3" t="s">
        <v>74</v>
      </c>
    </row>
    <row r="3" spans="1:10" x14ac:dyDescent="0.35">
      <c r="A3" s="24" t="s">
        <v>9</v>
      </c>
      <c r="B3" s="25" t="s">
        <v>31</v>
      </c>
      <c r="C3" s="26" t="s">
        <v>1684</v>
      </c>
      <c r="D3" s="26" t="s">
        <v>149</v>
      </c>
      <c r="E3" s="26" t="s">
        <v>1685</v>
      </c>
      <c r="F3" s="26" t="s">
        <v>1686</v>
      </c>
      <c r="G3" s="26" t="s">
        <v>1687</v>
      </c>
      <c r="H3" s="26" t="s">
        <v>1688</v>
      </c>
      <c r="I3" s="26" t="s">
        <v>1689</v>
      </c>
      <c r="J3" s="25" t="s">
        <v>80</v>
      </c>
    </row>
    <row r="4" spans="1:10" x14ac:dyDescent="0.35">
      <c r="A4" s="27" t="s">
        <v>104</v>
      </c>
      <c r="B4" s="27"/>
      <c r="C4" s="27" t="s">
        <v>1690</v>
      </c>
      <c r="D4" s="27" t="s">
        <v>1691</v>
      </c>
      <c r="E4" s="27" t="s">
        <v>1692</v>
      </c>
      <c r="F4" s="27" t="s">
        <v>1693</v>
      </c>
      <c r="G4" s="27" t="s">
        <v>1694</v>
      </c>
      <c r="H4" s="30" t="s">
        <v>1695</v>
      </c>
      <c r="I4" s="30" t="s">
        <v>1831</v>
      </c>
      <c r="J4" s="27" t="s">
        <v>128</v>
      </c>
    </row>
    <row r="5" spans="1:10" x14ac:dyDescent="0.35">
      <c r="A5" s="28"/>
      <c r="B5" s="26">
        <v>100</v>
      </c>
      <c r="C5" s="26">
        <v>12201001</v>
      </c>
      <c r="D5" s="26"/>
      <c r="E5" s="26" t="s">
        <v>1709</v>
      </c>
      <c r="F5" s="29" t="s">
        <v>1710</v>
      </c>
      <c r="G5" s="29" t="s">
        <v>1769</v>
      </c>
      <c r="H5" s="33" t="s">
        <v>1822</v>
      </c>
      <c r="I5" s="33" t="s">
        <v>1827</v>
      </c>
      <c r="J5" s="28"/>
    </row>
    <row r="6" spans="1:10" x14ac:dyDescent="0.35">
      <c r="A6" s="28"/>
      <c r="B6" s="26">
        <v>100</v>
      </c>
      <c r="C6" s="26">
        <v>12201002</v>
      </c>
      <c r="D6" s="26"/>
      <c r="E6" s="26" t="s">
        <v>1711</v>
      </c>
      <c r="F6" s="29" t="s">
        <v>1712</v>
      </c>
      <c r="G6" s="29" t="s">
        <v>2698</v>
      </c>
      <c r="H6" s="33" t="s">
        <v>3374</v>
      </c>
      <c r="I6" s="33" t="s">
        <v>1827</v>
      </c>
      <c r="J6" s="28"/>
    </row>
    <row r="7" spans="1:10" x14ac:dyDescent="0.35">
      <c r="A7" s="28"/>
      <c r="B7" s="26">
        <v>100</v>
      </c>
      <c r="C7" s="26">
        <v>12201003</v>
      </c>
      <c r="D7" s="26"/>
      <c r="E7" s="26" t="s">
        <v>1713</v>
      </c>
      <c r="F7" s="29" t="s">
        <v>1714</v>
      </c>
      <c r="G7" s="29" t="s">
        <v>2699</v>
      </c>
      <c r="H7" s="33" t="s">
        <v>3375</v>
      </c>
      <c r="I7" s="33" t="s">
        <v>1827</v>
      </c>
      <c r="J7" s="28"/>
    </row>
    <row r="8" spans="1:10" x14ac:dyDescent="0.35">
      <c r="A8" s="28"/>
      <c r="B8" s="26">
        <v>100</v>
      </c>
      <c r="C8" s="26">
        <v>12201004</v>
      </c>
      <c r="D8" s="26"/>
      <c r="E8" s="26" t="s">
        <v>1715</v>
      </c>
      <c r="F8" s="29" t="s">
        <v>1716</v>
      </c>
      <c r="G8" s="29" t="s">
        <v>1770</v>
      </c>
      <c r="H8" s="33" t="s">
        <v>3370</v>
      </c>
      <c r="I8" s="33" t="s">
        <v>1827</v>
      </c>
      <c r="J8" s="28"/>
    </row>
    <row r="9" spans="1:10" x14ac:dyDescent="0.35">
      <c r="A9" s="28"/>
      <c r="B9" s="26">
        <v>100</v>
      </c>
      <c r="C9" s="26">
        <v>12201005</v>
      </c>
      <c r="D9" s="26"/>
      <c r="E9" s="26" t="s">
        <v>1717</v>
      </c>
      <c r="F9" s="29" t="s">
        <v>1718</v>
      </c>
      <c r="G9" s="29" t="s">
        <v>1771</v>
      </c>
      <c r="H9" s="33" t="s">
        <v>1823</v>
      </c>
      <c r="I9" s="33" t="s">
        <v>1827</v>
      </c>
      <c r="J9" s="28"/>
    </row>
    <row r="10" spans="1:10" x14ac:dyDescent="0.35">
      <c r="A10" s="28"/>
      <c r="B10" s="26">
        <v>100</v>
      </c>
      <c r="C10" s="26">
        <v>12201006</v>
      </c>
      <c r="D10" s="26"/>
      <c r="E10" s="26" t="s">
        <v>1719</v>
      </c>
      <c r="F10" s="29" t="s">
        <v>1720</v>
      </c>
      <c r="G10" s="29" t="s">
        <v>1772</v>
      </c>
      <c r="H10" s="33" t="s">
        <v>1824</v>
      </c>
      <c r="I10" s="33" t="s">
        <v>1827</v>
      </c>
      <c r="J10" s="28"/>
    </row>
    <row r="11" spans="1:10" x14ac:dyDescent="0.35">
      <c r="A11" s="8"/>
      <c r="B11" s="26">
        <v>100</v>
      </c>
      <c r="C11" s="26">
        <v>12201007</v>
      </c>
      <c r="D11" s="7"/>
      <c r="E11" s="7" t="s">
        <v>1721</v>
      </c>
      <c r="F11" s="9" t="s">
        <v>1722</v>
      </c>
      <c r="G11" s="9" t="s">
        <v>1775</v>
      </c>
      <c r="H11" s="34" t="s">
        <v>3368</v>
      </c>
      <c r="I11" s="33" t="s">
        <v>1827</v>
      </c>
      <c r="J11" s="8"/>
    </row>
    <row r="12" spans="1:10" x14ac:dyDescent="0.35">
      <c r="A12" s="8"/>
      <c r="B12" s="26">
        <v>100</v>
      </c>
      <c r="C12" s="26">
        <v>12201008</v>
      </c>
      <c r="D12" s="7"/>
      <c r="E12" s="7" t="s">
        <v>1723</v>
      </c>
      <c r="F12" s="9" t="s">
        <v>1724</v>
      </c>
      <c r="G12" s="9" t="s">
        <v>1773</v>
      </c>
      <c r="H12" s="34" t="s">
        <v>3371</v>
      </c>
      <c r="I12" s="33" t="s">
        <v>1827</v>
      </c>
      <c r="J12" s="8"/>
    </row>
    <row r="13" spans="1:10" x14ac:dyDescent="0.35">
      <c r="A13" s="8"/>
      <c r="B13" s="26">
        <v>100</v>
      </c>
      <c r="C13" s="26">
        <v>12201009</v>
      </c>
      <c r="D13" s="7"/>
      <c r="E13" s="7" t="s">
        <v>1725</v>
      </c>
      <c r="F13" s="9" t="s">
        <v>1726</v>
      </c>
      <c r="G13" s="9" t="s">
        <v>1776</v>
      </c>
      <c r="H13" s="34" t="s">
        <v>3369</v>
      </c>
      <c r="I13" s="33" t="s">
        <v>1827</v>
      </c>
      <c r="J13" s="8"/>
    </row>
    <row r="14" spans="1:10" x14ac:dyDescent="0.35">
      <c r="A14" s="8"/>
      <c r="B14" s="26">
        <v>100</v>
      </c>
      <c r="C14" s="26">
        <v>12201010</v>
      </c>
      <c r="D14" s="7"/>
      <c r="E14" s="7" t="s">
        <v>1727</v>
      </c>
      <c r="F14" s="9" t="s">
        <v>1728</v>
      </c>
      <c r="G14" s="9" t="s">
        <v>1774</v>
      </c>
      <c r="H14" s="34" t="s">
        <v>1825</v>
      </c>
      <c r="I14" s="33" t="s">
        <v>1827</v>
      </c>
      <c r="J14" s="8"/>
    </row>
    <row r="15" spans="1:10" x14ac:dyDescent="0.35">
      <c r="A15" s="8"/>
      <c r="B15" s="26">
        <v>100</v>
      </c>
      <c r="C15" s="26">
        <v>12201011</v>
      </c>
      <c r="D15" s="7"/>
      <c r="E15" s="7" t="s">
        <v>1729</v>
      </c>
      <c r="F15" s="9" t="s">
        <v>1730</v>
      </c>
      <c r="G15" s="9" t="s">
        <v>2700</v>
      </c>
      <c r="H15" s="34" t="s">
        <v>3376</v>
      </c>
      <c r="I15" s="33" t="s">
        <v>1827</v>
      </c>
      <c r="J15" s="8"/>
    </row>
    <row r="16" spans="1:10" x14ac:dyDescent="0.35">
      <c r="A16" s="8"/>
      <c r="B16" s="26">
        <v>100</v>
      </c>
      <c r="C16" s="26">
        <v>12201012</v>
      </c>
      <c r="D16" s="7"/>
      <c r="E16" s="7" t="s">
        <v>1731</v>
      </c>
      <c r="F16" s="9" t="s">
        <v>1732</v>
      </c>
      <c r="G16" s="9" t="s">
        <v>1777</v>
      </c>
      <c r="H16" s="34" t="s">
        <v>3403</v>
      </c>
      <c r="I16" s="33" t="s">
        <v>1827</v>
      </c>
      <c r="J16" s="8"/>
    </row>
    <row r="17" spans="1:10" x14ac:dyDescent="0.35">
      <c r="A17" s="8"/>
      <c r="B17" s="26">
        <v>100</v>
      </c>
      <c r="C17" s="26">
        <v>12201013</v>
      </c>
      <c r="D17" s="7"/>
      <c r="E17" s="7" t="s">
        <v>1733</v>
      </c>
      <c r="F17" s="9" t="s">
        <v>1734</v>
      </c>
      <c r="G17" s="9" t="s">
        <v>1778</v>
      </c>
      <c r="H17" s="34" t="s">
        <v>3367</v>
      </c>
      <c r="I17" s="33" t="s">
        <v>1827</v>
      </c>
      <c r="J17" s="8"/>
    </row>
    <row r="18" spans="1:10" x14ac:dyDescent="0.35">
      <c r="A18" s="8"/>
      <c r="B18" s="26">
        <v>100</v>
      </c>
      <c r="C18" s="26">
        <v>12201014</v>
      </c>
      <c r="D18" s="7"/>
      <c r="E18" s="7" t="s">
        <v>1735</v>
      </c>
      <c r="F18" s="9" t="s">
        <v>1736</v>
      </c>
      <c r="G18" s="9" t="s">
        <v>1779</v>
      </c>
      <c r="H18" s="34" t="s">
        <v>3366</v>
      </c>
      <c r="I18" s="33" t="s">
        <v>1827</v>
      </c>
      <c r="J18" s="8"/>
    </row>
    <row r="19" spans="1:10" x14ac:dyDescent="0.35">
      <c r="A19" s="8"/>
      <c r="B19" s="26">
        <v>100</v>
      </c>
      <c r="C19" s="26">
        <v>12201015</v>
      </c>
      <c r="D19" s="7"/>
      <c r="E19" s="7" t="s">
        <v>3093</v>
      </c>
      <c r="F19" s="34" t="s">
        <v>3095</v>
      </c>
      <c r="G19" s="9" t="s">
        <v>3097</v>
      </c>
      <c r="H19" s="34" t="s">
        <v>3404</v>
      </c>
      <c r="I19" s="33" t="s">
        <v>1827</v>
      </c>
      <c r="J19" s="8"/>
    </row>
    <row r="20" spans="1:10" x14ac:dyDescent="0.35">
      <c r="A20" s="8"/>
      <c r="B20" s="26">
        <v>100</v>
      </c>
      <c r="C20" s="26">
        <v>12201016</v>
      </c>
      <c r="D20" s="7"/>
      <c r="E20" s="7" t="s">
        <v>3094</v>
      </c>
      <c r="F20" s="34" t="s">
        <v>3096</v>
      </c>
      <c r="G20" s="9" t="s">
        <v>3098</v>
      </c>
      <c r="H20" s="34" t="s">
        <v>3405</v>
      </c>
      <c r="I20" s="33" t="s">
        <v>1827</v>
      </c>
      <c r="J20" s="8"/>
    </row>
    <row r="21" spans="1:10" x14ac:dyDescent="0.35">
      <c r="A21" s="8"/>
      <c r="B21" s="26">
        <v>100</v>
      </c>
      <c r="C21" s="26">
        <v>12201017</v>
      </c>
      <c r="D21" s="7"/>
      <c r="E21" s="7" t="s">
        <v>1737</v>
      </c>
      <c r="F21" s="9" t="s">
        <v>1738</v>
      </c>
      <c r="G21" s="9" t="s">
        <v>1781</v>
      </c>
      <c r="H21" s="34" t="s">
        <v>3397</v>
      </c>
      <c r="I21" s="33" t="s">
        <v>1827</v>
      </c>
      <c r="J21" s="8"/>
    </row>
    <row r="22" spans="1:10" x14ac:dyDescent="0.35">
      <c r="A22" s="8"/>
      <c r="B22" s="26">
        <v>100</v>
      </c>
      <c r="C22" s="26">
        <v>12201018</v>
      </c>
      <c r="D22" s="7"/>
      <c r="E22" s="7" t="s">
        <v>1739</v>
      </c>
      <c r="F22" s="9" t="s">
        <v>1740</v>
      </c>
      <c r="G22" s="9" t="s">
        <v>1780</v>
      </c>
      <c r="H22" s="34" t="s">
        <v>3398</v>
      </c>
      <c r="I22" s="33" t="s">
        <v>1827</v>
      </c>
      <c r="J22" s="8"/>
    </row>
    <row r="23" spans="1:10" x14ac:dyDescent="0.35">
      <c r="A23" s="8"/>
      <c r="B23" s="26">
        <v>100</v>
      </c>
      <c r="C23" s="26">
        <v>12201019</v>
      </c>
      <c r="D23" s="7"/>
      <c r="E23" s="7" t="s">
        <v>1741</v>
      </c>
      <c r="F23" s="9" t="s">
        <v>1742</v>
      </c>
      <c r="G23" s="9" t="s">
        <v>1782</v>
      </c>
      <c r="H23" s="34" t="s">
        <v>3399</v>
      </c>
      <c r="I23" s="33" t="s">
        <v>1827</v>
      </c>
      <c r="J23" s="8"/>
    </row>
    <row r="24" spans="1:10" x14ac:dyDescent="0.35">
      <c r="A24" s="8"/>
      <c r="B24" s="26">
        <v>100</v>
      </c>
      <c r="C24" s="26">
        <v>12201020</v>
      </c>
      <c r="D24" s="7"/>
      <c r="E24" s="7" t="s">
        <v>1743</v>
      </c>
      <c r="F24" s="9" t="s">
        <v>1744</v>
      </c>
      <c r="G24" s="9" t="s">
        <v>1783</v>
      </c>
      <c r="H24" s="34" t="s">
        <v>3400</v>
      </c>
      <c r="I24" s="33" t="s">
        <v>1827</v>
      </c>
      <c r="J24" s="8"/>
    </row>
    <row r="25" spans="1:10" x14ac:dyDescent="0.35">
      <c r="A25" s="8"/>
      <c r="B25" s="26">
        <v>100</v>
      </c>
      <c r="C25" s="26">
        <v>12201021</v>
      </c>
      <c r="D25" s="7"/>
      <c r="E25" s="7" t="s">
        <v>1745</v>
      </c>
      <c r="F25" s="9" t="s">
        <v>1746</v>
      </c>
      <c r="G25" s="9" t="s">
        <v>1781</v>
      </c>
      <c r="H25" s="34" t="s">
        <v>3397</v>
      </c>
      <c r="I25" s="33" t="s">
        <v>1827</v>
      </c>
      <c r="J25" s="8"/>
    </row>
    <row r="26" spans="1:10" x14ac:dyDescent="0.35">
      <c r="A26" s="8"/>
      <c r="B26" s="26">
        <v>100</v>
      </c>
      <c r="C26" s="26">
        <v>12201022</v>
      </c>
      <c r="D26" s="7"/>
      <c r="E26" s="7" t="s">
        <v>1747</v>
      </c>
      <c r="F26" s="9" t="s">
        <v>1748</v>
      </c>
      <c r="G26" s="9" t="s">
        <v>1780</v>
      </c>
      <c r="H26" s="34" t="s">
        <v>3398</v>
      </c>
      <c r="I26" s="33" t="s">
        <v>1827</v>
      </c>
      <c r="J26" s="8"/>
    </row>
    <row r="27" spans="1:10" x14ac:dyDescent="0.35">
      <c r="A27" s="8"/>
      <c r="B27" s="26">
        <v>100</v>
      </c>
      <c r="C27" s="26">
        <v>12201023</v>
      </c>
      <c r="D27" s="7"/>
      <c r="E27" s="7" t="s">
        <v>1749</v>
      </c>
      <c r="F27" s="9" t="s">
        <v>1750</v>
      </c>
      <c r="G27" s="9" t="s">
        <v>1782</v>
      </c>
      <c r="H27" s="34" t="s">
        <v>3399</v>
      </c>
      <c r="I27" s="33" t="s">
        <v>1827</v>
      </c>
      <c r="J27" s="8"/>
    </row>
    <row r="28" spans="1:10" x14ac:dyDescent="0.35">
      <c r="A28" s="8"/>
      <c r="B28" s="26">
        <v>100</v>
      </c>
      <c r="C28" s="26">
        <v>12201024</v>
      </c>
      <c r="D28" s="7"/>
      <c r="E28" s="7" t="s">
        <v>1751</v>
      </c>
      <c r="F28" s="9" t="s">
        <v>1752</v>
      </c>
      <c r="G28" s="9" t="s">
        <v>1783</v>
      </c>
      <c r="H28" s="34" t="s">
        <v>3400</v>
      </c>
      <c r="I28" s="33" t="s">
        <v>1827</v>
      </c>
      <c r="J28" s="8"/>
    </row>
    <row r="29" spans="1:10" x14ac:dyDescent="0.35">
      <c r="A29" s="8"/>
      <c r="B29" s="26">
        <v>100</v>
      </c>
      <c r="C29" s="26">
        <v>12201025</v>
      </c>
      <c r="D29" s="7"/>
      <c r="E29" s="7" t="s">
        <v>1753</v>
      </c>
      <c r="F29" s="9" t="s">
        <v>1754</v>
      </c>
      <c r="G29" s="9" t="s">
        <v>1781</v>
      </c>
      <c r="H29" s="34" t="s">
        <v>3397</v>
      </c>
      <c r="I29" s="33" t="s">
        <v>1827</v>
      </c>
      <c r="J29" s="8"/>
    </row>
    <row r="30" spans="1:10" x14ac:dyDescent="0.35">
      <c r="A30" s="8"/>
      <c r="B30" s="26">
        <v>100</v>
      </c>
      <c r="C30" s="26">
        <v>12201026</v>
      </c>
      <c r="D30" s="7"/>
      <c r="E30" s="7" t="s">
        <v>1755</v>
      </c>
      <c r="F30" s="9" t="s">
        <v>1756</v>
      </c>
      <c r="G30" s="9" t="s">
        <v>1780</v>
      </c>
      <c r="H30" s="34" t="s">
        <v>3398</v>
      </c>
      <c r="I30" s="33" t="s">
        <v>1827</v>
      </c>
      <c r="J30" s="8"/>
    </row>
    <row r="31" spans="1:10" x14ac:dyDescent="0.35">
      <c r="A31" s="8"/>
      <c r="B31" s="26">
        <v>100</v>
      </c>
      <c r="C31" s="26">
        <v>12201027</v>
      </c>
      <c r="D31" s="7"/>
      <c r="E31" s="7" t="s">
        <v>1757</v>
      </c>
      <c r="F31" s="9" t="s">
        <v>1758</v>
      </c>
      <c r="G31" s="9" t="s">
        <v>1782</v>
      </c>
      <c r="H31" s="34" t="s">
        <v>3399</v>
      </c>
      <c r="I31" s="33" t="s">
        <v>1827</v>
      </c>
      <c r="J31" s="8"/>
    </row>
    <row r="32" spans="1:10" x14ac:dyDescent="0.35">
      <c r="A32" s="8"/>
      <c r="B32" s="26">
        <v>100</v>
      </c>
      <c r="C32" s="26">
        <v>12201028</v>
      </c>
      <c r="D32" s="7"/>
      <c r="E32" s="7" t="s">
        <v>1759</v>
      </c>
      <c r="F32" s="9" t="s">
        <v>1760</v>
      </c>
      <c r="G32" s="9" t="s">
        <v>1783</v>
      </c>
      <c r="H32" s="34" t="s">
        <v>3400</v>
      </c>
      <c r="I32" s="33" t="s">
        <v>1827</v>
      </c>
      <c r="J32" s="8"/>
    </row>
    <row r="33" spans="1:10" x14ac:dyDescent="0.35">
      <c r="A33" s="8"/>
      <c r="B33" s="26">
        <v>100</v>
      </c>
      <c r="C33" s="26">
        <v>12201029</v>
      </c>
      <c r="D33" s="7"/>
      <c r="E33" s="7" t="s">
        <v>1761</v>
      </c>
      <c r="F33" s="9" t="s">
        <v>1762</v>
      </c>
      <c r="G33" s="9" t="s">
        <v>1781</v>
      </c>
      <c r="H33" s="34" t="s">
        <v>3397</v>
      </c>
      <c r="I33" s="33" t="s">
        <v>1827</v>
      </c>
      <c r="J33" s="8"/>
    </row>
    <row r="34" spans="1:10" x14ac:dyDescent="0.35">
      <c r="A34" s="8"/>
      <c r="B34" s="26">
        <v>100</v>
      </c>
      <c r="C34" s="26">
        <v>12201030</v>
      </c>
      <c r="D34" s="7"/>
      <c r="E34" s="7" t="s">
        <v>1763</v>
      </c>
      <c r="F34" s="9" t="s">
        <v>1764</v>
      </c>
      <c r="G34" s="9" t="s">
        <v>1780</v>
      </c>
      <c r="H34" s="34" t="s">
        <v>3398</v>
      </c>
      <c r="I34" s="33" t="s">
        <v>1827</v>
      </c>
      <c r="J34" s="8"/>
    </row>
    <row r="35" spans="1:10" x14ac:dyDescent="0.35">
      <c r="A35" s="8"/>
      <c r="B35" s="26">
        <v>100</v>
      </c>
      <c r="C35" s="26">
        <v>12201031</v>
      </c>
      <c r="D35" s="7"/>
      <c r="E35" s="7" t="s">
        <v>1765</v>
      </c>
      <c r="F35" s="9" t="s">
        <v>1766</v>
      </c>
      <c r="G35" s="9" t="s">
        <v>1782</v>
      </c>
      <c r="H35" s="34" t="s">
        <v>3399</v>
      </c>
      <c r="I35" s="33" t="s">
        <v>1827</v>
      </c>
      <c r="J35" s="8"/>
    </row>
    <row r="36" spans="1:10" x14ac:dyDescent="0.35">
      <c r="A36" s="8"/>
      <c r="B36" s="26">
        <v>100</v>
      </c>
      <c r="C36" s="26">
        <v>12201032</v>
      </c>
      <c r="D36" s="7"/>
      <c r="E36" s="7" t="s">
        <v>1767</v>
      </c>
      <c r="F36" s="9" t="s">
        <v>1768</v>
      </c>
      <c r="G36" s="9" t="s">
        <v>1783</v>
      </c>
      <c r="H36" s="34" t="s">
        <v>3400</v>
      </c>
      <c r="I36" s="33" t="s">
        <v>1827</v>
      </c>
      <c r="J36" s="8"/>
    </row>
    <row r="37" spans="1:10" x14ac:dyDescent="0.35">
      <c r="A37" s="8"/>
      <c r="B37" s="26">
        <v>100</v>
      </c>
      <c r="C37" s="26">
        <v>12201033</v>
      </c>
      <c r="D37" s="7"/>
      <c r="E37" s="7" t="s">
        <v>2796</v>
      </c>
      <c r="F37" s="34" t="s">
        <v>2801</v>
      </c>
      <c r="G37" s="9" t="s">
        <v>1782</v>
      </c>
      <c r="H37" s="34" t="s">
        <v>3399</v>
      </c>
      <c r="I37" s="33" t="s">
        <v>1827</v>
      </c>
      <c r="J37" s="8"/>
    </row>
    <row r="38" spans="1:10" x14ac:dyDescent="0.35">
      <c r="A38" s="8"/>
      <c r="B38" s="26">
        <v>100</v>
      </c>
      <c r="C38" s="26">
        <v>12201034</v>
      </c>
      <c r="D38" s="7"/>
      <c r="E38" s="7" t="s">
        <v>2800</v>
      </c>
      <c r="F38" s="34" t="s">
        <v>2802</v>
      </c>
      <c r="G38" s="9" t="s">
        <v>1780</v>
      </c>
      <c r="H38" s="34" t="s">
        <v>3398</v>
      </c>
      <c r="I38" s="33" t="s">
        <v>1827</v>
      </c>
      <c r="J38" s="8"/>
    </row>
    <row r="39" spans="1:10" x14ac:dyDescent="0.35">
      <c r="A39" s="8"/>
      <c r="B39" s="26">
        <v>100</v>
      </c>
      <c r="C39" s="26">
        <v>12201035</v>
      </c>
      <c r="D39" s="7"/>
      <c r="E39" s="7" t="s">
        <v>2799</v>
      </c>
      <c r="F39" s="34" t="s">
        <v>2803</v>
      </c>
      <c r="G39" s="9" t="s">
        <v>2804</v>
      </c>
      <c r="H39" s="34" t="s">
        <v>3401</v>
      </c>
      <c r="I39" s="33" t="s">
        <v>1827</v>
      </c>
      <c r="J39" s="8"/>
    </row>
    <row r="40" spans="1:10" x14ac:dyDescent="0.35">
      <c r="A40" s="8"/>
      <c r="B40" s="26">
        <v>100</v>
      </c>
      <c r="C40" s="26">
        <v>12201036</v>
      </c>
      <c r="D40" s="7"/>
      <c r="E40" s="7" t="s">
        <v>2310</v>
      </c>
      <c r="F40" s="34" t="s">
        <v>2333</v>
      </c>
      <c r="G40" s="34" t="s">
        <v>2315</v>
      </c>
      <c r="H40" s="34" t="s">
        <v>3364</v>
      </c>
      <c r="I40" s="33" t="s">
        <v>1827</v>
      </c>
      <c r="J40" s="8"/>
    </row>
    <row r="41" spans="1:10" x14ac:dyDescent="0.35">
      <c r="A41" s="8"/>
      <c r="B41" s="26">
        <v>100</v>
      </c>
      <c r="C41" s="26">
        <v>12201037</v>
      </c>
      <c r="D41" s="7"/>
      <c r="E41" s="7" t="s">
        <v>2311</v>
      </c>
      <c r="F41" s="34" t="s">
        <v>2334</v>
      </c>
      <c r="G41" s="34" t="s">
        <v>2317</v>
      </c>
      <c r="H41" s="34" t="s">
        <v>3365</v>
      </c>
      <c r="I41" s="33" t="s">
        <v>1827</v>
      </c>
      <c r="J41" s="8"/>
    </row>
    <row r="42" spans="1:10" x14ac:dyDescent="0.35">
      <c r="A42" s="8"/>
      <c r="B42" s="26">
        <v>100</v>
      </c>
      <c r="C42" s="26">
        <v>12201038</v>
      </c>
      <c r="D42" s="7"/>
      <c r="E42" s="7" t="s">
        <v>2312</v>
      </c>
      <c r="F42" s="34" t="s">
        <v>2335</v>
      </c>
      <c r="G42" s="34" t="s">
        <v>2319</v>
      </c>
      <c r="H42" s="34" t="s">
        <v>3372</v>
      </c>
      <c r="I42" s="33" t="s">
        <v>1827</v>
      </c>
      <c r="J42" s="8"/>
    </row>
    <row r="43" spans="1:10" x14ac:dyDescent="0.35">
      <c r="A43" s="8"/>
      <c r="B43" s="26">
        <v>100</v>
      </c>
      <c r="C43" s="26">
        <v>12201039</v>
      </c>
      <c r="D43" s="7"/>
      <c r="E43" s="7" t="s">
        <v>2313</v>
      </c>
      <c r="F43" s="34" t="s">
        <v>2336</v>
      </c>
      <c r="G43" s="34" t="s">
        <v>2321</v>
      </c>
      <c r="H43" s="34" t="s">
        <v>3373</v>
      </c>
      <c r="I43" s="33" t="s">
        <v>1827</v>
      </c>
      <c r="J43" s="8"/>
    </row>
    <row r="44" spans="1:10" x14ac:dyDescent="0.35">
      <c r="A44" s="8"/>
      <c r="B44" s="26">
        <v>100</v>
      </c>
      <c r="C44" s="26">
        <v>12201040</v>
      </c>
      <c r="D44" s="7"/>
      <c r="E44" s="26" t="s">
        <v>2998</v>
      </c>
      <c r="F44" s="33" t="s">
        <v>3084</v>
      </c>
      <c r="G44" s="9" t="s">
        <v>3087</v>
      </c>
      <c r="H44" s="34" t="s">
        <v>3089</v>
      </c>
      <c r="I44" s="33" t="s">
        <v>1827</v>
      </c>
      <c r="J44" s="8"/>
    </row>
    <row r="45" spans="1:10" x14ac:dyDescent="0.35">
      <c r="A45" s="8"/>
      <c r="B45" s="26">
        <v>100</v>
      </c>
      <c r="C45" s="26">
        <v>12201041</v>
      </c>
      <c r="D45" s="7"/>
      <c r="E45" s="26" t="s">
        <v>3085</v>
      </c>
      <c r="F45" s="33" t="s">
        <v>3086</v>
      </c>
      <c r="G45" s="9" t="s">
        <v>3088</v>
      </c>
      <c r="H45" s="34" t="s">
        <v>3402</v>
      </c>
      <c r="I45" s="33" t="s">
        <v>1827</v>
      </c>
      <c r="J45" s="8"/>
    </row>
    <row r="46" spans="1:10" x14ac:dyDescent="0.35">
      <c r="A46" s="8"/>
      <c r="B46" s="26">
        <v>100</v>
      </c>
      <c r="C46" s="26"/>
      <c r="D46" s="7"/>
      <c r="E46" s="7"/>
      <c r="F46" s="9"/>
      <c r="G46" s="9"/>
      <c r="H46" s="34"/>
      <c r="I46" s="34"/>
      <c r="J46" s="8"/>
    </row>
    <row r="47" spans="1:10" x14ac:dyDescent="0.35">
      <c r="A47" s="8"/>
      <c r="B47" s="26">
        <v>100</v>
      </c>
      <c r="C47" s="26"/>
      <c r="D47" s="7"/>
      <c r="E47" s="7"/>
      <c r="F47" s="9"/>
      <c r="G47" s="9"/>
      <c r="H47" s="34"/>
      <c r="I47" s="34"/>
      <c r="J47" s="8"/>
    </row>
    <row r="48" spans="1:10" x14ac:dyDescent="0.35">
      <c r="A48" s="8"/>
      <c r="B48" s="26">
        <v>100</v>
      </c>
      <c r="C48" s="26"/>
      <c r="D48" s="7"/>
      <c r="E48" s="7"/>
      <c r="F48" s="9"/>
      <c r="G48" s="9"/>
      <c r="H48" s="34"/>
      <c r="I48" s="34"/>
      <c r="J48" s="8"/>
    </row>
    <row r="49" spans="1:10" x14ac:dyDescent="0.35">
      <c r="A49" s="8"/>
      <c r="B49" s="26">
        <v>100</v>
      </c>
      <c r="C49" s="26"/>
      <c r="D49" s="7"/>
      <c r="E49" s="7"/>
      <c r="F49" s="9"/>
      <c r="G49" s="9"/>
      <c r="H49" s="34"/>
      <c r="I49" s="34"/>
      <c r="J49" s="8"/>
    </row>
    <row r="50" spans="1:10" x14ac:dyDescent="0.35">
      <c r="A50" s="8"/>
      <c r="B50" s="26">
        <v>100</v>
      </c>
      <c r="C50" s="26"/>
      <c r="D50" s="7"/>
      <c r="E50" s="7"/>
      <c r="F50" s="9"/>
      <c r="G50" s="9"/>
      <c r="H50" s="34"/>
      <c r="I50" s="34"/>
      <c r="J5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ACA4A-9D89-4A7A-AE1D-013BD2652895}">
  <sheetPr codeName="Sheet23">
    <tabColor rgb="FFC00000"/>
  </sheetPr>
  <dimension ref="A1:I6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4" width="15.625" style="10" customWidth="1"/>
    <col min="5" max="6" width="30.625" style="10" customWidth="1"/>
    <col min="7" max="8" width="15.625" style="10" customWidth="1"/>
    <col min="9" max="9" width="50.625" style="10" customWidth="1"/>
    <col min="10" max="16384" width="10.625" style="10"/>
  </cols>
  <sheetData>
    <row r="1" spans="1:9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40</v>
      </c>
      <c r="F1" s="5" t="s">
        <v>55</v>
      </c>
      <c r="G1" s="5" t="s">
        <v>38</v>
      </c>
      <c r="H1" s="5" t="s">
        <v>40</v>
      </c>
      <c r="I1" s="6" t="s">
        <v>74</v>
      </c>
    </row>
    <row r="2" spans="1:9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1696</v>
      </c>
      <c r="F2" s="2" t="s">
        <v>1697</v>
      </c>
      <c r="G2" s="2" t="s">
        <v>1698</v>
      </c>
      <c r="H2" s="2" t="s">
        <v>1699</v>
      </c>
      <c r="I2" s="3" t="s">
        <v>74</v>
      </c>
    </row>
    <row r="3" spans="1:9" x14ac:dyDescent="0.35">
      <c r="A3" s="24" t="s">
        <v>9</v>
      </c>
      <c r="B3" s="25" t="s">
        <v>31</v>
      </c>
      <c r="C3" s="26" t="s">
        <v>1700</v>
      </c>
      <c r="D3" s="26" t="s">
        <v>149</v>
      </c>
      <c r="E3" s="26" t="s">
        <v>1701</v>
      </c>
      <c r="F3" s="26" t="s">
        <v>1702</v>
      </c>
      <c r="G3" s="26" t="s">
        <v>1703</v>
      </c>
      <c r="H3" s="26" t="s">
        <v>1704</v>
      </c>
      <c r="I3" s="25" t="s">
        <v>80</v>
      </c>
    </row>
    <row r="4" spans="1:9" x14ac:dyDescent="0.35">
      <c r="A4" s="27" t="s">
        <v>104</v>
      </c>
      <c r="B4" s="27"/>
      <c r="C4" s="27" t="s">
        <v>1705</v>
      </c>
      <c r="D4" s="27" t="s">
        <v>1706</v>
      </c>
      <c r="E4" s="27" t="s">
        <v>1829</v>
      </c>
      <c r="F4" s="30" t="s">
        <v>1830</v>
      </c>
      <c r="G4" s="27" t="s">
        <v>1707</v>
      </c>
      <c r="H4" s="27" t="s">
        <v>1708</v>
      </c>
      <c r="I4" s="27" t="s">
        <v>128</v>
      </c>
    </row>
    <row r="5" spans="1:9" x14ac:dyDescent="0.35">
      <c r="A5" s="64"/>
      <c r="B5" s="59">
        <v>100</v>
      </c>
      <c r="C5" s="59">
        <v>12301000</v>
      </c>
      <c r="D5" s="59"/>
      <c r="E5" s="59" t="s">
        <v>1797</v>
      </c>
      <c r="F5" s="65" t="s">
        <v>1828</v>
      </c>
      <c r="G5" s="67">
        <v>1000</v>
      </c>
      <c r="H5" s="59" t="s">
        <v>1801</v>
      </c>
      <c r="I5" s="68" t="s">
        <v>1804</v>
      </c>
    </row>
    <row r="6" spans="1:9" x14ac:dyDescent="0.35">
      <c r="A6" s="28"/>
      <c r="B6" s="26">
        <v>100</v>
      </c>
      <c r="C6" s="26">
        <v>12301001</v>
      </c>
      <c r="D6" s="26"/>
      <c r="E6" s="26" t="s">
        <v>1785</v>
      </c>
      <c r="F6" s="33" t="s">
        <v>1828</v>
      </c>
      <c r="G6" s="29">
        <v>1000</v>
      </c>
      <c r="H6" s="26" t="s">
        <v>1801</v>
      </c>
      <c r="I6" s="50" t="s">
        <v>1805</v>
      </c>
    </row>
    <row r="7" spans="1:9" x14ac:dyDescent="0.35">
      <c r="A7" s="28"/>
      <c r="B7" s="26">
        <v>100</v>
      </c>
      <c r="C7" s="26">
        <v>12301002</v>
      </c>
      <c r="D7" s="26"/>
      <c r="E7" s="26" t="s">
        <v>1786</v>
      </c>
      <c r="F7" s="33" t="s">
        <v>1828</v>
      </c>
      <c r="G7" s="29">
        <v>1000</v>
      </c>
      <c r="H7" s="26" t="s">
        <v>1801</v>
      </c>
      <c r="I7" s="50" t="s">
        <v>1806</v>
      </c>
    </row>
    <row r="8" spans="1:9" x14ac:dyDescent="0.35">
      <c r="A8" s="28"/>
      <c r="B8" s="26">
        <v>100</v>
      </c>
      <c r="C8" s="26">
        <v>12301003</v>
      </c>
      <c r="D8" s="26"/>
      <c r="E8" s="26" t="s">
        <v>1787</v>
      </c>
      <c r="F8" s="33" t="s">
        <v>1828</v>
      </c>
      <c r="G8" s="29">
        <v>1000</v>
      </c>
      <c r="H8" s="26" t="s">
        <v>1801</v>
      </c>
      <c r="I8" s="50" t="s">
        <v>1807</v>
      </c>
    </row>
    <row r="9" spans="1:9" x14ac:dyDescent="0.35">
      <c r="A9" s="28"/>
      <c r="B9" s="26">
        <v>100</v>
      </c>
      <c r="C9" s="26">
        <v>12301004</v>
      </c>
      <c r="D9" s="26"/>
      <c r="E9" s="26" t="s">
        <v>1788</v>
      </c>
      <c r="F9" s="33" t="s">
        <v>1828</v>
      </c>
      <c r="G9" s="29">
        <v>1000</v>
      </c>
      <c r="H9" s="26" t="s">
        <v>1801</v>
      </c>
      <c r="I9" s="50" t="s">
        <v>1808</v>
      </c>
    </row>
    <row r="10" spans="1:9" x14ac:dyDescent="0.35">
      <c r="A10" s="28"/>
      <c r="B10" s="26">
        <v>100</v>
      </c>
      <c r="C10" s="26">
        <v>12301005</v>
      </c>
      <c r="D10" s="26"/>
      <c r="E10" s="26" t="s">
        <v>1789</v>
      </c>
      <c r="F10" s="33" t="s">
        <v>1828</v>
      </c>
      <c r="G10" s="29">
        <v>1000</v>
      </c>
      <c r="H10" s="26" t="s">
        <v>1801</v>
      </c>
      <c r="I10" s="50" t="s">
        <v>1809</v>
      </c>
    </row>
    <row r="11" spans="1:9" x14ac:dyDescent="0.35">
      <c r="A11"/>
      <c r="B11" s="26">
        <v>100</v>
      </c>
      <c r="C11" s="26">
        <v>12301006</v>
      </c>
      <c r="D11" s="69"/>
      <c r="E11" s="26" t="s">
        <v>1790</v>
      </c>
      <c r="F11" s="33" t="s">
        <v>1828</v>
      </c>
      <c r="G11" s="29">
        <v>1000</v>
      </c>
      <c r="H11" s="26" t="s">
        <v>1801</v>
      </c>
      <c r="I11" s="50" t="s">
        <v>1810</v>
      </c>
    </row>
    <row r="12" spans="1:9" x14ac:dyDescent="0.35">
      <c r="A12"/>
      <c r="B12" s="26">
        <v>100</v>
      </c>
      <c r="C12" s="26">
        <v>12301007</v>
      </c>
      <c r="D12" s="69"/>
      <c r="E12" s="26" t="s">
        <v>1791</v>
      </c>
      <c r="F12" s="33" t="s">
        <v>1828</v>
      </c>
      <c r="G12" s="29">
        <v>1000</v>
      </c>
      <c r="H12" s="26" t="s">
        <v>1801</v>
      </c>
      <c r="I12" s="50" t="s">
        <v>1811</v>
      </c>
    </row>
    <row r="13" spans="1:9" x14ac:dyDescent="0.35">
      <c r="A13"/>
      <c r="B13" s="26">
        <v>100</v>
      </c>
      <c r="C13" s="26">
        <v>12301008</v>
      </c>
      <c r="D13" s="69"/>
      <c r="E13" s="26" t="s">
        <v>1792</v>
      </c>
      <c r="F13" s="33" t="s">
        <v>1828</v>
      </c>
      <c r="G13" s="29">
        <v>1000</v>
      </c>
      <c r="H13" s="26" t="s">
        <v>1801</v>
      </c>
      <c r="I13" s="50" t="s">
        <v>1812</v>
      </c>
    </row>
    <row r="14" spans="1:9" x14ac:dyDescent="0.35">
      <c r="A14" t="s">
        <v>104</v>
      </c>
      <c r="B14" s="69">
        <v>100</v>
      </c>
      <c r="C14" s="69">
        <v>12302000</v>
      </c>
      <c r="D14" s="69"/>
      <c r="E14" s="69" t="s">
        <v>3406</v>
      </c>
      <c r="F14" s="33" t="s">
        <v>1828</v>
      </c>
      <c r="G14" s="29">
        <v>1000</v>
      </c>
      <c r="H14" s="26" t="s">
        <v>1801</v>
      </c>
      <c r="I14" s="50" t="s">
        <v>3377</v>
      </c>
    </row>
    <row r="15" spans="1:9" x14ac:dyDescent="0.35">
      <c r="A15" s="58"/>
      <c r="B15" s="59">
        <v>100</v>
      </c>
      <c r="C15" s="60">
        <v>12303000</v>
      </c>
      <c r="D15" s="60"/>
      <c r="E15" s="60" t="s">
        <v>2325</v>
      </c>
      <c r="F15" s="65" t="s">
        <v>1828</v>
      </c>
      <c r="G15" s="67">
        <v>1000</v>
      </c>
      <c r="H15" s="59" t="s">
        <v>1801</v>
      </c>
      <c r="I15" s="68" t="s">
        <v>3378</v>
      </c>
    </row>
    <row r="16" spans="1:9" x14ac:dyDescent="0.35">
      <c r="A16"/>
      <c r="B16" s="26">
        <v>100</v>
      </c>
      <c r="C16" s="69">
        <v>12303001</v>
      </c>
      <c r="D16" s="69"/>
      <c r="E16" s="69" t="s">
        <v>2326</v>
      </c>
      <c r="F16" s="33" t="s">
        <v>1828</v>
      </c>
      <c r="G16" s="29">
        <v>1000</v>
      </c>
      <c r="H16" s="26" t="s">
        <v>1801</v>
      </c>
      <c r="I16" s="50" t="s">
        <v>3379</v>
      </c>
    </row>
    <row r="17" spans="1:9" x14ac:dyDescent="0.35">
      <c r="A17"/>
      <c r="B17" s="26">
        <v>100</v>
      </c>
      <c r="C17" s="69">
        <v>12303002</v>
      </c>
      <c r="D17" s="69"/>
      <c r="E17" s="69" t="s">
        <v>2327</v>
      </c>
      <c r="F17" s="33" t="s">
        <v>1828</v>
      </c>
      <c r="G17" s="29">
        <v>1000</v>
      </c>
      <c r="H17" s="26" t="s">
        <v>1801</v>
      </c>
      <c r="I17" s="50" t="s">
        <v>3380</v>
      </c>
    </row>
    <row r="18" spans="1:9" x14ac:dyDescent="0.35">
      <c r="A18"/>
      <c r="B18" s="26">
        <v>100</v>
      </c>
      <c r="C18" s="69">
        <v>12303003</v>
      </c>
      <c r="D18" s="69"/>
      <c r="E18" s="69" t="s">
        <v>2328</v>
      </c>
      <c r="F18" s="33" t="s">
        <v>1828</v>
      </c>
      <c r="G18" s="29">
        <v>1000</v>
      </c>
      <c r="H18" s="26" t="s">
        <v>1801</v>
      </c>
      <c r="I18" s="50" t="s">
        <v>3381</v>
      </c>
    </row>
    <row r="19" spans="1:9" x14ac:dyDescent="0.35">
      <c r="A19"/>
      <c r="B19" s="26">
        <v>100</v>
      </c>
      <c r="C19" s="69">
        <v>12303004</v>
      </c>
      <c r="D19" s="69"/>
      <c r="E19" s="69" t="s">
        <v>2329</v>
      </c>
      <c r="F19" s="33" t="s">
        <v>1828</v>
      </c>
      <c r="G19" s="29">
        <v>1000</v>
      </c>
      <c r="H19" s="26" t="s">
        <v>1801</v>
      </c>
      <c r="I19" s="50" t="s">
        <v>3382</v>
      </c>
    </row>
    <row r="20" spans="1:9" x14ac:dyDescent="0.35">
      <c r="A20" s="58"/>
      <c r="B20" s="59">
        <v>100</v>
      </c>
      <c r="C20" s="60">
        <v>12304000</v>
      </c>
      <c r="D20" s="60"/>
      <c r="E20" s="60" t="s">
        <v>3383</v>
      </c>
      <c r="F20" s="65" t="s">
        <v>1828</v>
      </c>
      <c r="G20" s="67">
        <v>1000</v>
      </c>
      <c r="H20" s="59" t="s">
        <v>1801</v>
      </c>
      <c r="I20" s="68" t="s">
        <v>3384</v>
      </c>
    </row>
    <row r="21" spans="1:9" x14ac:dyDescent="0.35">
      <c r="A21"/>
      <c r="B21" s="26">
        <v>100</v>
      </c>
      <c r="C21" s="69">
        <v>12304001</v>
      </c>
      <c r="D21" s="69"/>
      <c r="E21" s="69" t="s">
        <v>3385</v>
      </c>
      <c r="F21" s="33" t="s">
        <v>1828</v>
      </c>
      <c r="G21" s="29">
        <v>1000</v>
      </c>
      <c r="H21" s="26" t="s">
        <v>1801</v>
      </c>
      <c r="I21" s="50" t="s">
        <v>3386</v>
      </c>
    </row>
    <row r="22" spans="1:9" x14ac:dyDescent="0.35">
      <c r="A22"/>
      <c r="B22" s="26">
        <v>100</v>
      </c>
      <c r="C22" s="69">
        <v>12304002</v>
      </c>
      <c r="D22" s="69"/>
      <c r="E22" s="69" t="s">
        <v>3387</v>
      </c>
      <c r="F22" s="33" t="s">
        <v>1828</v>
      </c>
      <c r="G22" s="29">
        <v>1000</v>
      </c>
      <c r="H22" s="26" t="s">
        <v>1801</v>
      </c>
      <c r="I22" s="50" t="s">
        <v>2330</v>
      </c>
    </row>
    <row r="23" spans="1:9" x14ac:dyDescent="0.35">
      <c r="A23"/>
      <c r="B23" s="26">
        <v>100</v>
      </c>
      <c r="C23" s="69">
        <v>12304003</v>
      </c>
      <c r="D23" s="69"/>
      <c r="E23" s="69" t="s">
        <v>3388</v>
      </c>
      <c r="F23" s="33" t="s">
        <v>1828</v>
      </c>
      <c r="G23" s="29">
        <v>1000</v>
      </c>
      <c r="H23" s="26" t="s">
        <v>1801</v>
      </c>
      <c r="I23" s="50" t="s">
        <v>3389</v>
      </c>
    </row>
    <row r="24" spans="1:9" x14ac:dyDescent="0.35">
      <c r="A24"/>
      <c r="B24" s="26">
        <v>100</v>
      </c>
      <c r="C24" s="69">
        <v>12304004</v>
      </c>
      <c r="D24" s="69"/>
      <c r="E24" s="69" t="s">
        <v>3390</v>
      </c>
      <c r="F24" s="33" t="s">
        <v>1828</v>
      </c>
      <c r="G24" s="29">
        <v>1000</v>
      </c>
      <c r="H24" s="26" t="s">
        <v>1801</v>
      </c>
      <c r="I24" s="50" t="s">
        <v>3391</v>
      </c>
    </row>
    <row r="25" spans="1:9" x14ac:dyDescent="0.35">
      <c r="A25"/>
      <c r="B25" s="69">
        <v>100</v>
      </c>
      <c r="C25" s="69">
        <v>12304201</v>
      </c>
      <c r="D25" s="69"/>
      <c r="E25" s="69" t="s">
        <v>2324</v>
      </c>
      <c r="F25" s="57" t="s">
        <v>2322</v>
      </c>
      <c r="G25" s="70">
        <v>1000</v>
      </c>
      <c r="H25" s="69" t="s">
        <v>2323</v>
      </c>
      <c r="I25" s="50" t="s">
        <v>2330</v>
      </c>
    </row>
    <row r="26" spans="1:9" x14ac:dyDescent="0.35">
      <c r="A26" s="58"/>
      <c r="B26" s="60">
        <v>100</v>
      </c>
      <c r="C26" s="60">
        <v>12305000</v>
      </c>
      <c r="D26" s="60"/>
      <c r="E26" s="60" t="s">
        <v>3344</v>
      </c>
      <c r="F26" s="65" t="s">
        <v>1828</v>
      </c>
      <c r="G26" s="67">
        <v>1000</v>
      </c>
      <c r="H26" s="59" t="s">
        <v>1801</v>
      </c>
      <c r="I26" s="68" t="s">
        <v>3359</v>
      </c>
    </row>
    <row r="27" spans="1:9" x14ac:dyDescent="0.35">
      <c r="A27"/>
      <c r="B27" s="69">
        <v>100</v>
      </c>
      <c r="C27" s="69">
        <v>12305001</v>
      </c>
      <c r="D27" s="69"/>
      <c r="E27" s="69" t="s">
        <v>3345</v>
      </c>
      <c r="F27" s="33" t="s">
        <v>1828</v>
      </c>
      <c r="G27" s="29">
        <v>1000</v>
      </c>
      <c r="H27" s="26" t="s">
        <v>1801</v>
      </c>
      <c r="I27" s="50" t="s">
        <v>3360</v>
      </c>
    </row>
    <row r="28" spans="1:9" x14ac:dyDescent="0.35">
      <c r="A28"/>
      <c r="B28" s="69">
        <v>100</v>
      </c>
      <c r="C28" s="69">
        <v>12305002</v>
      </c>
      <c r="D28" s="69"/>
      <c r="E28" s="69" t="s">
        <v>3346</v>
      </c>
      <c r="F28" s="33" t="s">
        <v>1828</v>
      </c>
      <c r="G28" s="29">
        <v>1000</v>
      </c>
      <c r="H28" s="26" t="s">
        <v>1801</v>
      </c>
      <c r="I28" s="50" t="s">
        <v>3361</v>
      </c>
    </row>
    <row r="29" spans="1:9" x14ac:dyDescent="0.35">
      <c r="A29"/>
      <c r="B29" s="69">
        <v>100</v>
      </c>
      <c r="C29" s="69">
        <v>12305003</v>
      </c>
      <c r="D29" s="69"/>
      <c r="E29" s="69" t="s">
        <v>3347</v>
      </c>
      <c r="F29" s="33" t="s">
        <v>1828</v>
      </c>
      <c r="G29" s="29">
        <v>1000</v>
      </c>
      <c r="H29" s="26" t="s">
        <v>1801</v>
      </c>
      <c r="I29" s="50" t="s">
        <v>3362</v>
      </c>
    </row>
    <row r="30" spans="1:9" x14ac:dyDescent="0.35">
      <c r="A30"/>
      <c r="B30" s="69">
        <v>100</v>
      </c>
      <c r="C30" s="69">
        <v>12305004</v>
      </c>
      <c r="D30" s="69"/>
      <c r="E30" s="69" t="s">
        <v>3348</v>
      </c>
      <c r="F30" s="33" t="s">
        <v>1828</v>
      </c>
      <c r="G30" s="29">
        <v>1000</v>
      </c>
      <c r="H30" s="26" t="s">
        <v>1801</v>
      </c>
      <c r="I30" s="50" t="s">
        <v>3363</v>
      </c>
    </row>
    <row r="31" spans="1:9" x14ac:dyDescent="0.35">
      <c r="A31" s="58"/>
      <c r="B31" s="60">
        <v>100</v>
      </c>
      <c r="C31" s="60">
        <v>12306000</v>
      </c>
      <c r="D31" s="60"/>
      <c r="E31" s="60" t="s">
        <v>3349</v>
      </c>
      <c r="F31" s="65" t="s">
        <v>1828</v>
      </c>
      <c r="G31" s="67">
        <v>1000</v>
      </c>
      <c r="H31" s="59" t="s">
        <v>1801</v>
      </c>
      <c r="I31" s="68" t="s">
        <v>3354</v>
      </c>
    </row>
    <row r="32" spans="1:9" x14ac:dyDescent="0.35">
      <c r="A32"/>
      <c r="B32" s="69">
        <v>100</v>
      </c>
      <c r="C32" s="69">
        <v>12306001</v>
      </c>
      <c r="D32" s="69"/>
      <c r="E32" s="69" t="s">
        <v>3350</v>
      </c>
      <c r="F32" s="33" t="s">
        <v>1828</v>
      </c>
      <c r="G32" s="29">
        <v>1000</v>
      </c>
      <c r="H32" s="26" t="s">
        <v>1801</v>
      </c>
      <c r="I32" s="50" t="s">
        <v>3355</v>
      </c>
    </row>
    <row r="33" spans="1:9" x14ac:dyDescent="0.35">
      <c r="A33"/>
      <c r="B33" s="69">
        <v>100</v>
      </c>
      <c r="C33" s="69">
        <v>12306002</v>
      </c>
      <c r="D33" s="69"/>
      <c r="E33" s="69" t="s">
        <v>3351</v>
      </c>
      <c r="F33" s="33" t="s">
        <v>1828</v>
      </c>
      <c r="G33" s="29">
        <v>1000</v>
      </c>
      <c r="H33" s="26" t="s">
        <v>1801</v>
      </c>
      <c r="I33" s="50" t="s">
        <v>3356</v>
      </c>
    </row>
    <row r="34" spans="1:9" x14ac:dyDescent="0.35">
      <c r="A34"/>
      <c r="B34" s="69">
        <v>100</v>
      </c>
      <c r="C34" s="69">
        <v>12306003</v>
      </c>
      <c r="D34" s="69"/>
      <c r="E34" s="69" t="s">
        <v>3352</v>
      </c>
      <c r="F34" s="33" t="s">
        <v>1828</v>
      </c>
      <c r="G34" s="29">
        <v>1000</v>
      </c>
      <c r="H34" s="26" t="s">
        <v>1801</v>
      </c>
      <c r="I34" s="50" t="s">
        <v>3358</v>
      </c>
    </row>
    <row r="35" spans="1:9" x14ac:dyDescent="0.35">
      <c r="A35"/>
      <c r="B35" s="69">
        <v>100</v>
      </c>
      <c r="C35" s="69">
        <v>12306004</v>
      </c>
      <c r="D35" s="69"/>
      <c r="E35" s="69" t="s">
        <v>3353</v>
      </c>
      <c r="F35" s="33" t="s">
        <v>1828</v>
      </c>
      <c r="G35" s="29">
        <v>1000</v>
      </c>
      <c r="H35" s="26" t="s">
        <v>1801</v>
      </c>
      <c r="I35" s="50" t="s">
        <v>3357</v>
      </c>
    </row>
    <row r="36" spans="1:9" x14ac:dyDescent="0.35">
      <c r="A36" s="58"/>
      <c r="B36" s="60">
        <v>100</v>
      </c>
      <c r="C36" s="60">
        <v>12307000</v>
      </c>
      <c r="D36" s="60"/>
      <c r="E36" s="60" t="s">
        <v>1798</v>
      </c>
      <c r="F36" s="65" t="s">
        <v>1828</v>
      </c>
      <c r="G36" s="67">
        <v>1000</v>
      </c>
      <c r="H36" s="59" t="s">
        <v>1801</v>
      </c>
      <c r="I36" s="68" t="s">
        <v>1817</v>
      </c>
    </row>
    <row r="37" spans="1:9" x14ac:dyDescent="0.35">
      <c r="A37"/>
      <c r="B37" s="69">
        <v>100</v>
      </c>
      <c r="C37" s="69">
        <v>12307001</v>
      </c>
      <c r="D37" s="69"/>
      <c r="E37" s="69" t="s">
        <v>1793</v>
      </c>
      <c r="F37" s="33" t="s">
        <v>1828</v>
      </c>
      <c r="G37" s="29">
        <v>1000</v>
      </c>
      <c r="H37" s="26" t="s">
        <v>1801</v>
      </c>
      <c r="I37" s="50" t="s">
        <v>1813</v>
      </c>
    </row>
    <row r="38" spans="1:9" x14ac:dyDescent="0.35">
      <c r="A38"/>
      <c r="B38" s="69">
        <v>100</v>
      </c>
      <c r="C38" s="69">
        <v>12307002</v>
      </c>
      <c r="D38" s="69"/>
      <c r="E38" s="69" t="s">
        <v>1794</v>
      </c>
      <c r="F38" s="33" t="s">
        <v>1828</v>
      </c>
      <c r="G38" s="29">
        <v>1000</v>
      </c>
      <c r="H38" s="26" t="s">
        <v>1801</v>
      </c>
      <c r="I38" s="50" t="s">
        <v>1814</v>
      </c>
    </row>
    <row r="39" spans="1:9" x14ac:dyDescent="0.35">
      <c r="A39"/>
      <c r="B39" s="69">
        <v>100</v>
      </c>
      <c r="C39" s="69">
        <v>12307003</v>
      </c>
      <c r="D39" s="69"/>
      <c r="E39" s="69" t="s">
        <v>1795</v>
      </c>
      <c r="F39" s="33" t="s">
        <v>1828</v>
      </c>
      <c r="G39" s="29">
        <v>1000</v>
      </c>
      <c r="H39" s="26" t="s">
        <v>1801</v>
      </c>
      <c r="I39" s="50" t="s">
        <v>1815</v>
      </c>
    </row>
    <row r="40" spans="1:9" x14ac:dyDescent="0.35">
      <c r="A40"/>
      <c r="B40" s="69">
        <v>100</v>
      </c>
      <c r="C40" s="69">
        <v>12307004</v>
      </c>
      <c r="D40" s="69"/>
      <c r="E40" s="69" t="s">
        <v>1796</v>
      </c>
      <c r="F40" s="33" t="s">
        <v>1828</v>
      </c>
      <c r="G40" s="29">
        <v>1000</v>
      </c>
      <c r="H40" s="26" t="s">
        <v>1801</v>
      </c>
      <c r="I40" s="50" t="s">
        <v>1816</v>
      </c>
    </row>
    <row r="41" spans="1:9" x14ac:dyDescent="0.35">
      <c r="A41"/>
      <c r="B41" s="69">
        <v>100</v>
      </c>
      <c r="C41" s="69">
        <v>12308001</v>
      </c>
      <c r="D41" s="69"/>
      <c r="E41" s="69" t="s">
        <v>2331</v>
      </c>
      <c r="F41" s="33" t="s">
        <v>1828</v>
      </c>
      <c r="G41" s="29">
        <v>1000</v>
      </c>
      <c r="H41" s="26" t="s">
        <v>1801</v>
      </c>
      <c r="I41" s="50" t="s">
        <v>2332</v>
      </c>
    </row>
    <row r="42" spans="1:9" x14ac:dyDescent="0.35">
      <c r="A42" s="8"/>
      <c r="B42" s="7">
        <v>100</v>
      </c>
      <c r="C42" s="7">
        <v>12308002</v>
      </c>
      <c r="D42" s="7"/>
      <c r="E42" s="7" t="s">
        <v>3395</v>
      </c>
      <c r="F42" s="33" t="s">
        <v>1828</v>
      </c>
      <c r="G42" s="29">
        <v>1000</v>
      </c>
      <c r="H42" s="26" t="s">
        <v>1801</v>
      </c>
      <c r="I42" s="51" t="s">
        <v>3396</v>
      </c>
    </row>
    <row r="43" spans="1:9" x14ac:dyDescent="0.35">
      <c r="A43"/>
      <c r="B43" s="26">
        <v>100</v>
      </c>
      <c r="C43" s="69">
        <v>12309000</v>
      </c>
      <c r="D43" s="69"/>
      <c r="E43" s="71" t="s">
        <v>1802</v>
      </c>
      <c r="F43" s="33" t="s">
        <v>1828</v>
      </c>
      <c r="G43" s="29">
        <v>1000</v>
      </c>
      <c r="H43" s="26" t="s">
        <v>1801</v>
      </c>
      <c r="I43" s="50" t="s">
        <v>1820</v>
      </c>
    </row>
    <row r="44" spans="1:9" x14ac:dyDescent="0.35">
      <c r="A44"/>
      <c r="B44" s="26">
        <v>100</v>
      </c>
      <c r="C44" s="69">
        <v>12309001</v>
      </c>
      <c r="D44" s="69"/>
      <c r="E44" s="69" t="s">
        <v>1784</v>
      </c>
      <c r="F44" s="33" t="s">
        <v>1828</v>
      </c>
      <c r="G44" s="29">
        <v>1000</v>
      </c>
      <c r="H44" s="26" t="s">
        <v>1801</v>
      </c>
      <c r="I44" s="50" t="s">
        <v>1821</v>
      </c>
    </row>
    <row r="45" spans="1:9" x14ac:dyDescent="0.35">
      <c r="A45"/>
      <c r="B45" s="26">
        <v>100</v>
      </c>
      <c r="C45" s="69">
        <v>12310001</v>
      </c>
      <c r="D45" s="69"/>
      <c r="E45" s="72" t="s">
        <v>3410</v>
      </c>
      <c r="F45" s="33" t="s">
        <v>1828</v>
      </c>
      <c r="G45" s="29">
        <v>1000</v>
      </c>
      <c r="H45" s="26" t="s">
        <v>1801</v>
      </c>
      <c r="I45" s="50" t="s">
        <v>1819</v>
      </c>
    </row>
    <row r="46" spans="1:9" x14ac:dyDescent="0.35">
      <c r="A46"/>
      <c r="B46" s="26">
        <v>100</v>
      </c>
      <c r="C46" s="69">
        <v>12311000</v>
      </c>
      <c r="D46" s="69"/>
      <c r="E46" s="73" t="s">
        <v>3411</v>
      </c>
      <c r="F46" s="33" t="s">
        <v>1828</v>
      </c>
      <c r="G46" s="29">
        <v>1000</v>
      </c>
      <c r="H46" s="26" t="s">
        <v>1801</v>
      </c>
      <c r="I46" s="50" t="s">
        <v>1818</v>
      </c>
    </row>
    <row r="47" spans="1:9" x14ac:dyDescent="0.35">
      <c r="A47" s="8"/>
      <c r="B47" s="26">
        <v>100</v>
      </c>
      <c r="C47" s="69">
        <v>12311001</v>
      </c>
      <c r="D47" s="69"/>
      <c r="E47" s="73" t="s">
        <v>3412</v>
      </c>
      <c r="F47" s="33" t="s">
        <v>1828</v>
      </c>
      <c r="G47" s="29">
        <v>1000</v>
      </c>
      <c r="H47" s="26" t="s">
        <v>1801</v>
      </c>
      <c r="I47" s="50" t="s">
        <v>3407</v>
      </c>
    </row>
    <row r="48" spans="1:9" x14ac:dyDescent="0.35">
      <c r="A48" s="8"/>
      <c r="B48" s="26">
        <v>100</v>
      </c>
      <c r="C48" s="69">
        <v>12311002</v>
      </c>
      <c r="D48" s="69"/>
      <c r="E48" s="73" t="s">
        <v>3413</v>
      </c>
      <c r="F48" s="33" t="s">
        <v>1828</v>
      </c>
      <c r="G48" s="29">
        <v>1000</v>
      </c>
      <c r="H48" s="26" t="s">
        <v>1801</v>
      </c>
      <c r="I48" s="50" t="s">
        <v>3408</v>
      </c>
    </row>
    <row r="49" spans="1:9" x14ac:dyDescent="0.35">
      <c r="A49" s="8"/>
      <c r="B49" s="26">
        <v>100</v>
      </c>
      <c r="C49" s="69">
        <v>12311003</v>
      </c>
      <c r="D49" s="69"/>
      <c r="E49" s="73" t="s">
        <v>3414</v>
      </c>
      <c r="F49" s="33" t="s">
        <v>1828</v>
      </c>
      <c r="G49" s="29">
        <v>1000</v>
      </c>
      <c r="H49" s="26" t="s">
        <v>1801</v>
      </c>
      <c r="I49" s="50" t="s">
        <v>3409</v>
      </c>
    </row>
    <row r="50" spans="1:9" x14ac:dyDescent="0.35">
      <c r="A50"/>
      <c r="B50" s="26">
        <v>100</v>
      </c>
      <c r="C50" s="69">
        <v>12399001</v>
      </c>
      <c r="D50" s="69"/>
      <c r="E50" s="69" t="s">
        <v>1799</v>
      </c>
      <c r="F50" s="33" t="s">
        <v>1828</v>
      </c>
      <c r="G50" s="29">
        <v>1000</v>
      </c>
      <c r="H50" s="26" t="s">
        <v>1801</v>
      </c>
      <c r="I50" s="50" t="s">
        <v>3392</v>
      </c>
    </row>
    <row r="51" spans="1:9" x14ac:dyDescent="0.35">
      <c r="A51"/>
      <c r="B51" s="26">
        <v>100</v>
      </c>
      <c r="C51" s="69">
        <v>12399002</v>
      </c>
      <c r="D51" s="69"/>
      <c r="E51" s="69" t="s">
        <v>1800</v>
      </c>
      <c r="F51" s="33" t="s">
        <v>1828</v>
      </c>
      <c r="G51" s="29">
        <v>1000</v>
      </c>
      <c r="H51" s="26" t="s">
        <v>1801</v>
      </c>
      <c r="I51" s="50" t="s">
        <v>3393</v>
      </c>
    </row>
    <row r="52" spans="1:9" x14ac:dyDescent="0.35">
      <c r="A52"/>
      <c r="B52" s="26">
        <v>100</v>
      </c>
      <c r="C52" s="69">
        <v>12399003</v>
      </c>
      <c r="D52" s="69"/>
      <c r="E52" s="69" t="s">
        <v>1803</v>
      </c>
      <c r="F52" s="33" t="s">
        <v>1828</v>
      </c>
      <c r="G52" s="29">
        <v>1000</v>
      </c>
      <c r="H52" s="26" t="s">
        <v>1801</v>
      </c>
      <c r="I52" s="50" t="s">
        <v>3394</v>
      </c>
    </row>
    <row r="53" spans="1:9" x14ac:dyDescent="0.35">
      <c r="A53" s="8"/>
      <c r="B53" s="26">
        <v>100</v>
      </c>
      <c r="C53" s="7"/>
      <c r="D53" s="7"/>
      <c r="E53" s="7"/>
      <c r="F53" s="34"/>
      <c r="G53" s="9"/>
      <c r="H53" s="7"/>
      <c r="I53" s="51"/>
    </row>
    <row r="54" spans="1:9" x14ac:dyDescent="0.35">
      <c r="A54" s="8"/>
      <c r="B54" s="26">
        <v>100</v>
      </c>
      <c r="C54" s="7"/>
      <c r="D54" s="7"/>
      <c r="E54" s="7"/>
      <c r="F54" s="34"/>
      <c r="G54" s="9"/>
      <c r="H54" s="7"/>
      <c r="I54" s="51"/>
    </row>
    <row r="55" spans="1:9" x14ac:dyDescent="0.35">
      <c r="A55" s="8"/>
      <c r="B55" s="26">
        <v>100</v>
      </c>
      <c r="C55" s="7"/>
      <c r="D55" s="7"/>
      <c r="E55" s="7"/>
      <c r="F55" s="34"/>
      <c r="G55" s="9"/>
      <c r="H55" s="7"/>
      <c r="I55" s="51"/>
    </row>
    <row r="56" spans="1:9" x14ac:dyDescent="0.35">
      <c r="A56" s="8"/>
      <c r="B56" s="26">
        <v>100</v>
      </c>
      <c r="C56" s="7"/>
      <c r="D56" s="7"/>
      <c r="E56" s="7"/>
      <c r="F56" s="34"/>
      <c r="G56" s="9"/>
      <c r="H56" s="7"/>
      <c r="I56" s="51"/>
    </row>
    <row r="57" spans="1:9" x14ac:dyDescent="0.35">
      <c r="A57" s="8"/>
      <c r="B57" s="26">
        <v>100</v>
      </c>
      <c r="C57" s="7"/>
      <c r="D57" s="7"/>
      <c r="E57" s="7"/>
      <c r="F57" s="34"/>
      <c r="G57" s="9"/>
      <c r="H57" s="7"/>
      <c r="I57" s="51"/>
    </row>
    <row r="58" spans="1:9" x14ac:dyDescent="0.35">
      <c r="A58" s="8"/>
      <c r="B58" s="26">
        <v>100</v>
      </c>
      <c r="C58" s="7"/>
      <c r="D58" s="7"/>
      <c r="E58" s="7"/>
      <c r="F58" s="34"/>
      <c r="G58" s="9"/>
      <c r="H58" s="7"/>
      <c r="I58" s="51"/>
    </row>
    <row r="59" spans="1:9" x14ac:dyDescent="0.35">
      <c r="A59" s="8"/>
      <c r="B59" s="26">
        <v>100</v>
      </c>
      <c r="C59" s="7"/>
      <c r="D59" s="7"/>
      <c r="E59" s="7"/>
      <c r="F59" s="34"/>
      <c r="G59" s="9"/>
      <c r="H59" s="7"/>
      <c r="I59" s="51"/>
    </row>
    <row r="60" spans="1:9" x14ac:dyDescent="0.35">
      <c r="A60" s="8"/>
      <c r="B60" s="26">
        <v>100</v>
      </c>
      <c r="C60" s="7"/>
      <c r="D60" s="7"/>
      <c r="E60" s="7"/>
      <c r="F60" s="34"/>
      <c r="G60" s="9"/>
      <c r="H60" s="7"/>
      <c r="I60" s="51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E1E50-7B1D-4645-9162-75F0083624F6}">
  <sheetPr codeName="Sheet24">
    <tabColor rgb="FFC00000"/>
  </sheetPr>
  <dimension ref="A1:O55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7" width="15.625" style="10" customWidth="1"/>
    <col min="8" max="8" width="30.625" style="10" customWidth="1"/>
    <col min="9" max="11" width="15.625" style="10" customWidth="1"/>
    <col min="12" max="12" width="30.625" style="10" customWidth="1"/>
    <col min="13" max="13" width="15.625" style="10" customWidth="1"/>
    <col min="14" max="14" width="30.625" style="10" customWidth="1"/>
    <col min="15" max="15" width="50.625" style="10" customWidth="1"/>
    <col min="16" max="16384" width="10.625" style="10"/>
  </cols>
  <sheetData>
    <row r="1" spans="1:15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38</v>
      </c>
      <c r="G1" s="5" t="s">
        <v>40</v>
      </c>
      <c r="H1" s="5" t="s">
        <v>40</v>
      </c>
      <c r="I1" s="5" t="s">
        <v>38</v>
      </c>
      <c r="J1" s="5" t="s">
        <v>38</v>
      </c>
      <c r="K1" s="5" t="s">
        <v>38</v>
      </c>
      <c r="L1" s="5" t="s">
        <v>1496</v>
      </c>
      <c r="M1" s="42" t="s">
        <v>38</v>
      </c>
      <c r="N1" s="42" t="s">
        <v>1288</v>
      </c>
      <c r="O1" s="6" t="s">
        <v>74</v>
      </c>
    </row>
    <row r="2" spans="1:15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1256</v>
      </c>
      <c r="G2" s="2" t="s">
        <v>76</v>
      </c>
      <c r="H2" s="2" t="s">
        <v>159</v>
      </c>
      <c r="I2" s="2" t="s">
        <v>1257</v>
      </c>
      <c r="J2" s="2" t="s">
        <v>1899</v>
      </c>
      <c r="K2" s="2" t="s">
        <v>1902</v>
      </c>
      <c r="L2" s="2" t="s">
        <v>1258</v>
      </c>
      <c r="M2" s="43" t="s">
        <v>1598</v>
      </c>
      <c r="N2" s="43" t="s">
        <v>1289</v>
      </c>
      <c r="O2" s="3" t="s">
        <v>74</v>
      </c>
    </row>
    <row r="3" spans="1:15" x14ac:dyDescent="0.35">
      <c r="A3" s="24" t="s">
        <v>9</v>
      </c>
      <c r="B3" s="25" t="s">
        <v>31</v>
      </c>
      <c r="C3" s="26" t="s">
        <v>1290</v>
      </c>
      <c r="D3" s="26" t="s">
        <v>149</v>
      </c>
      <c r="E3" s="26" t="s">
        <v>1291</v>
      </c>
      <c r="F3" s="26" t="s">
        <v>1292</v>
      </c>
      <c r="G3" s="26" t="s">
        <v>1293</v>
      </c>
      <c r="H3" s="26" t="s">
        <v>1294</v>
      </c>
      <c r="I3" s="26" t="s">
        <v>1259</v>
      </c>
      <c r="J3" s="26" t="s">
        <v>1900</v>
      </c>
      <c r="K3" s="26" t="s">
        <v>1903</v>
      </c>
      <c r="L3" s="26" t="s">
        <v>1295</v>
      </c>
      <c r="M3" s="26" t="s">
        <v>1600</v>
      </c>
      <c r="N3" s="26" t="s">
        <v>1296</v>
      </c>
      <c r="O3" s="25" t="s">
        <v>80</v>
      </c>
    </row>
    <row r="4" spans="1:15" x14ac:dyDescent="0.35">
      <c r="A4" s="27" t="s">
        <v>104</v>
      </c>
      <c r="B4" s="27"/>
      <c r="C4" s="44" t="s">
        <v>1260</v>
      </c>
      <c r="D4" s="44" t="s">
        <v>1297</v>
      </c>
      <c r="E4" s="44" t="s">
        <v>3125</v>
      </c>
      <c r="F4" s="44" t="s">
        <v>1298</v>
      </c>
      <c r="G4" s="44" t="s">
        <v>1299</v>
      </c>
      <c r="H4" s="30" t="s">
        <v>1300</v>
      </c>
      <c r="I4" s="44" t="s">
        <v>1523</v>
      </c>
      <c r="J4" s="44" t="s">
        <v>1901</v>
      </c>
      <c r="K4" s="44" t="s">
        <v>1904</v>
      </c>
      <c r="L4" s="30" t="s">
        <v>1301</v>
      </c>
      <c r="M4" s="44" t="s">
        <v>1905</v>
      </c>
      <c r="N4" s="30" t="s">
        <v>1906</v>
      </c>
      <c r="O4" s="27" t="s">
        <v>128</v>
      </c>
    </row>
    <row r="5" spans="1:15" x14ac:dyDescent="0.35">
      <c r="A5" s="28"/>
      <c r="B5" s="26">
        <v>100</v>
      </c>
      <c r="C5" s="45">
        <v>20100001</v>
      </c>
      <c r="D5" s="45" t="s">
        <v>991</v>
      </c>
      <c r="E5" s="45">
        <v>0</v>
      </c>
      <c r="F5" s="45"/>
      <c r="G5" s="45" t="s">
        <v>1261</v>
      </c>
      <c r="H5" s="33" t="s">
        <v>1309</v>
      </c>
      <c r="I5" s="45">
        <v>0</v>
      </c>
      <c r="J5" s="45"/>
      <c r="K5" s="45"/>
      <c r="L5" s="33"/>
      <c r="M5" s="45"/>
      <c r="N5" s="33"/>
      <c r="O5" s="28"/>
    </row>
    <row r="6" spans="1:15" x14ac:dyDescent="0.35">
      <c r="A6" s="28"/>
      <c r="B6" s="26">
        <v>100</v>
      </c>
      <c r="C6" s="26">
        <v>20100011</v>
      </c>
      <c r="D6" s="45" t="s">
        <v>1271</v>
      </c>
      <c r="E6" s="45">
        <v>0</v>
      </c>
      <c r="F6" s="45"/>
      <c r="G6" s="45" t="s">
        <v>1262</v>
      </c>
      <c r="H6" s="33" t="s">
        <v>1310</v>
      </c>
      <c r="I6" s="45">
        <v>0</v>
      </c>
      <c r="J6" s="45"/>
      <c r="K6" s="45"/>
      <c r="L6" s="33"/>
      <c r="M6" s="45"/>
      <c r="N6" s="33"/>
      <c r="O6" s="28"/>
    </row>
    <row r="7" spans="1:15" x14ac:dyDescent="0.35">
      <c r="A7" s="28"/>
      <c r="B7" s="26">
        <v>100</v>
      </c>
      <c r="C7" s="26">
        <v>20100012</v>
      </c>
      <c r="D7" s="45" t="s">
        <v>1172</v>
      </c>
      <c r="E7" s="45">
        <v>0</v>
      </c>
      <c r="F7" s="45"/>
      <c r="G7" s="45" t="s">
        <v>1263</v>
      </c>
      <c r="H7" s="33" t="s">
        <v>1311</v>
      </c>
      <c r="I7" s="45">
        <v>0</v>
      </c>
      <c r="J7" s="45"/>
      <c r="K7" s="45"/>
      <c r="L7" s="33"/>
      <c r="M7" s="45"/>
      <c r="N7" s="33"/>
      <c r="O7" s="28"/>
    </row>
    <row r="8" spans="1:15" x14ac:dyDescent="0.35">
      <c r="A8" s="28"/>
      <c r="B8" s="26">
        <v>100</v>
      </c>
      <c r="C8" s="26">
        <v>20100013</v>
      </c>
      <c r="D8" s="45" t="s">
        <v>1272</v>
      </c>
      <c r="E8" s="45">
        <v>0</v>
      </c>
      <c r="F8" s="45"/>
      <c r="G8" s="45" t="s">
        <v>1264</v>
      </c>
      <c r="H8" s="33" t="s">
        <v>1312</v>
      </c>
      <c r="I8" s="45">
        <v>0</v>
      </c>
      <c r="J8" s="45"/>
      <c r="K8" s="45"/>
      <c r="L8" s="33"/>
      <c r="M8" s="45"/>
      <c r="N8" s="33"/>
      <c r="O8" s="28"/>
    </row>
    <row r="9" spans="1:15" x14ac:dyDescent="0.35">
      <c r="A9" s="28"/>
      <c r="B9" s="26">
        <v>100</v>
      </c>
      <c r="C9" s="26">
        <v>20100014</v>
      </c>
      <c r="D9" s="45" t="s">
        <v>1273</v>
      </c>
      <c r="E9" s="45">
        <v>0</v>
      </c>
      <c r="F9" s="45"/>
      <c r="G9" s="45" t="s">
        <v>1265</v>
      </c>
      <c r="H9" s="33" t="s">
        <v>1313</v>
      </c>
      <c r="I9" s="45">
        <v>0</v>
      </c>
      <c r="J9" s="45"/>
      <c r="K9" s="45"/>
      <c r="L9" s="33"/>
      <c r="M9" s="45"/>
      <c r="N9" s="33"/>
      <c r="O9" s="28"/>
    </row>
    <row r="10" spans="1:15" x14ac:dyDescent="0.35">
      <c r="A10" s="28"/>
      <c r="B10" s="26">
        <v>100</v>
      </c>
      <c r="C10" s="39">
        <v>20100015</v>
      </c>
      <c r="D10" s="45" t="s">
        <v>1059</v>
      </c>
      <c r="E10" s="45">
        <v>0</v>
      </c>
      <c r="F10" s="45"/>
      <c r="G10" s="45" t="s">
        <v>1266</v>
      </c>
      <c r="H10" s="33" t="s">
        <v>1314</v>
      </c>
      <c r="I10" s="45">
        <v>0</v>
      </c>
      <c r="J10" s="45"/>
      <c r="K10" s="45"/>
      <c r="L10" s="33"/>
      <c r="M10" s="45"/>
      <c r="N10" s="33"/>
      <c r="O10" s="28"/>
    </row>
    <row r="11" spans="1:15" x14ac:dyDescent="0.35">
      <c r="A11" s="8"/>
      <c r="B11" s="26">
        <v>100</v>
      </c>
      <c r="C11" s="26">
        <v>20100021</v>
      </c>
      <c r="D11" s="46" t="s">
        <v>1274</v>
      </c>
      <c r="E11" s="46">
        <v>0</v>
      </c>
      <c r="F11" s="45"/>
      <c r="G11" s="46" t="s">
        <v>1267</v>
      </c>
      <c r="H11" s="34" t="s">
        <v>1315</v>
      </c>
      <c r="I11" s="45">
        <v>0</v>
      </c>
      <c r="J11" s="45"/>
      <c r="K11" s="45"/>
      <c r="L11" s="34"/>
      <c r="M11" s="46"/>
      <c r="N11" s="34"/>
      <c r="O11" s="8"/>
    </row>
    <row r="12" spans="1:15" x14ac:dyDescent="0.35">
      <c r="A12" s="8"/>
      <c r="B12" s="26">
        <v>100</v>
      </c>
      <c r="C12" s="26">
        <v>20100022</v>
      </c>
      <c r="D12" s="46" t="s">
        <v>1275</v>
      </c>
      <c r="E12" s="46">
        <v>0</v>
      </c>
      <c r="F12" s="45"/>
      <c r="G12" s="46" t="s">
        <v>1268</v>
      </c>
      <c r="H12" s="34" t="s">
        <v>1316</v>
      </c>
      <c r="I12" s="45">
        <v>0</v>
      </c>
      <c r="J12" s="45"/>
      <c r="K12" s="45"/>
      <c r="L12" s="34"/>
      <c r="M12" s="46"/>
      <c r="N12" s="34"/>
      <c r="O12" s="8"/>
    </row>
    <row r="13" spans="1:15" x14ac:dyDescent="0.35">
      <c r="A13" s="8"/>
      <c r="B13" s="26">
        <v>100</v>
      </c>
      <c r="C13" s="7">
        <v>20100023</v>
      </c>
      <c r="D13" s="46" t="s">
        <v>1276</v>
      </c>
      <c r="E13" s="46">
        <v>0</v>
      </c>
      <c r="F13" s="45"/>
      <c r="G13" s="46" t="s">
        <v>1269</v>
      </c>
      <c r="H13" s="34" t="s">
        <v>1317</v>
      </c>
      <c r="I13" s="45">
        <v>0</v>
      </c>
      <c r="J13" s="45"/>
      <c r="K13" s="45"/>
      <c r="L13" s="34"/>
      <c r="M13" s="46"/>
      <c r="N13" s="34"/>
      <c r="O13" s="8"/>
    </row>
    <row r="14" spans="1:15" x14ac:dyDescent="0.35">
      <c r="A14" s="8"/>
      <c r="B14" s="26">
        <v>100</v>
      </c>
      <c r="C14" s="7">
        <v>20100024</v>
      </c>
      <c r="D14" s="46" t="s">
        <v>1277</v>
      </c>
      <c r="E14" s="46">
        <v>0</v>
      </c>
      <c r="F14" s="45"/>
      <c r="G14" s="46" t="s">
        <v>1270</v>
      </c>
      <c r="H14" s="34" t="s">
        <v>1318</v>
      </c>
      <c r="I14" s="45">
        <v>0</v>
      </c>
      <c r="J14" s="45"/>
      <c r="K14" s="45"/>
      <c r="L14" s="34"/>
      <c r="M14" s="46"/>
      <c r="N14" s="34"/>
      <c r="O14" s="8"/>
    </row>
    <row r="15" spans="1:15" x14ac:dyDescent="0.35">
      <c r="A15" s="8"/>
      <c r="B15" s="26">
        <v>100</v>
      </c>
      <c r="C15" s="46">
        <v>20101001</v>
      </c>
      <c r="D15" s="46" t="s">
        <v>2725</v>
      </c>
      <c r="E15" s="46">
        <v>1</v>
      </c>
      <c r="F15" s="46"/>
      <c r="G15" s="46" t="s">
        <v>1304</v>
      </c>
      <c r="H15" s="34" t="s">
        <v>1319</v>
      </c>
      <c r="I15" s="45">
        <v>0</v>
      </c>
      <c r="J15" s="45"/>
      <c r="K15" s="45"/>
      <c r="L15" s="34"/>
      <c r="M15" s="46"/>
      <c r="N15" s="34"/>
      <c r="O15" s="8"/>
    </row>
    <row r="16" spans="1:15" x14ac:dyDescent="0.35">
      <c r="A16" s="8" t="s">
        <v>104</v>
      </c>
      <c r="B16" s="26">
        <v>100</v>
      </c>
      <c r="C16" s="46">
        <v>20101002</v>
      </c>
      <c r="D16" s="46" t="s">
        <v>2058</v>
      </c>
      <c r="E16" s="46">
        <v>1</v>
      </c>
      <c r="F16" s="46"/>
      <c r="G16" s="46" t="s">
        <v>1305</v>
      </c>
      <c r="H16" s="34" t="s">
        <v>1320</v>
      </c>
      <c r="I16" s="45">
        <v>0</v>
      </c>
      <c r="J16" s="45"/>
      <c r="K16" s="45"/>
      <c r="L16" s="34"/>
      <c r="M16" s="46"/>
      <c r="N16" s="34"/>
      <c r="O16" s="8"/>
    </row>
    <row r="17" spans="1:15" x14ac:dyDescent="0.35">
      <c r="A17" s="8"/>
      <c r="B17" s="26">
        <v>100</v>
      </c>
      <c r="C17" s="46">
        <v>20101003</v>
      </c>
      <c r="D17" s="46" t="s">
        <v>2726</v>
      </c>
      <c r="E17" s="46">
        <v>1</v>
      </c>
      <c r="F17" s="46"/>
      <c r="G17" s="46" t="s">
        <v>1306</v>
      </c>
      <c r="H17" s="34" t="s">
        <v>1321</v>
      </c>
      <c r="I17" s="47">
        <v>0</v>
      </c>
      <c r="J17" s="47"/>
      <c r="K17" s="47"/>
      <c r="L17" s="34"/>
      <c r="M17" s="46"/>
      <c r="N17" s="34"/>
      <c r="O17" s="8"/>
    </row>
    <row r="18" spans="1:15" x14ac:dyDescent="0.35">
      <c r="A18" s="8"/>
      <c r="B18" s="26">
        <v>100</v>
      </c>
      <c r="C18" s="46">
        <v>20102001</v>
      </c>
      <c r="D18" s="46" t="s">
        <v>3732</v>
      </c>
      <c r="E18" s="46">
        <v>2</v>
      </c>
      <c r="F18" s="46">
        <v>2</v>
      </c>
      <c r="G18" s="46" t="s">
        <v>3743</v>
      </c>
      <c r="H18" s="34" t="s">
        <v>1322</v>
      </c>
      <c r="I18" s="45">
        <v>2</v>
      </c>
      <c r="J18" s="45">
        <v>100</v>
      </c>
      <c r="K18" s="45"/>
      <c r="L18" s="34"/>
      <c r="M18" s="46"/>
      <c r="N18" s="34"/>
      <c r="O18" s="8"/>
    </row>
    <row r="19" spans="1:15" x14ac:dyDescent="0.35">
      <c r="A19" s="8"/>
      <c r="B19" s="26">
        <v>100</v>
      </c>
      <c r="C19" s="46">
        <v>20102002</v>
      </c>
      <c r="D19" s="46" t="s">
        <v>2047</v>
      </c>
      <c r="E19" s="46">
        <v>2</v>
      </c>
      <c r="F19" s="46">
        <v>3</v>
      </c>
      <c r="G19" s="46" t="s">
        <v>1278</v>
      </c>
      <c r="H19" s="34" t="s">
        <v>1322</v>
      </c>
      <c r="I19" s="45">
        <v>2</v>
      </c>
      <c r="J19" s="45">
        <v>100</v>
      </c>
      <c r="K19" s="45"/>
      <c r="L19" s="34"/>
      <c r="M19" s="46"/>
      <c r="N19" s="34"/>
      <c r="O19" s="8"/>
    </row>
    <row r="20" spans="1:15" x14ac:dyDescent="0.35">
      <c r="A20" s="8"/>
      <c r="B20" s="26">
        <v>100</v>
      </c>
      <c r="C20" s="46">
        <v>20102003</v>
      </c>
      <c r="D20" s="46" t="s">
        <v>2048</v>
      </c>
      <c r="E20" s="46">
        <v>2</v>
      </c>
      <c r="F20" s="46">
        <v>4</v>
      </c>
      <c r="G20" s="46" t="s">
        <v>1279</v>
      </c>
      <c r="H20" s="34" t="s">
        <v>1325</v>
      </c>
      <c r="I20" s="45">
        <v>2</v>
      </c>
      <c r="J20" s="45">
        <v>100</v>
      </c>
      <c r="K20" s="45"/>
      <c r="L20" s="34"/>
      <c r="M20" s="46"/>
      <c r="N20" s="34"/>
      <c r="O20" s="8"/>
    </row>
    <row r="21" spans="1:15" x14ac:dyDescent="0.35">
      <c r="A21" s="8"/>
      <c r="B21" s="39">
        <v>100</v>
      </c>
      <c r="C21" s="46">
        <v>20102011</v>
      </c>
      <c r="D21" s="46" t="s">
        <v>3733</v>
      </c>
      <c r="E21" s="46">
        <v>2</v>
      </c>
      <c r="F21" s="46">
        <v>2</v>
      </c>
      <c r="G21" s="46" t="s">
        <v>3736</v>
      </c>
      <c r="H21" s="34" t="s">
        <v>3744</v>
      </c>
      <c r="I21" s="45">
        <v>2</v>
      </c>
      <c r="J21" s="45">
        <v>100</v>
      </c>
      <c r="K21" s="47"/>
      <c r="L21" s="34"/>
      <c r="M21" s="46"/>
      <c r="N21" s="34"/>
      <c r="O21" s="8"/>
    </row>
    <row r="22" spans="1:15" x14ac:dyDescent="0.35">
      <c r="A22" s="8"/>
      <c r="B22" s="39">
        <v>100</v>
      </c>
      <c r="C22" s="46">
        <v>20102012</v>
      </c>
      <c r="D22" s="46" t="s">
        <v>3734</v>
      </c>
      <c r="E22" s="46">
        <v>2</v>
      </c>
      <c r="F22" s="46">
        <v>3</v>
      </c>
      <c r="G22" s="46" t="s">
        <v>3737</v>
      </c>
      <c r="H22" s="34" t="s">
        <v>3745</v>
      </c>
      <c r="I22" s="45">
        <v>2</v>
      </c>
      <c r="J22" s="45">
        <v>100</v>
      </c>
      <c r="K22" s="47"/>
      <c r="L22" s="34"/>
      <c r="M22" s="46"/>
      <c r="N22" s="34"/>
      <c r="O22" s="8"/>
    </row>
    <row r="23" spans="1:15" x14ac:dyDescent="0.35">
      <c r="A23" s="8"/>
      <c r="B23" s="39">
        <v>100</v>
      </c>
      <c r="C23" s="46">
        <v>20102013</v>
      </c>
      <c r="D23" s="46" t="s">
        <v>3735</v>
      </c>
      <c r="E23" s="46">
        <v>2</v>
      </c>
      <c r="F23" s="46">
        <v>4</v>
      </c>
      <c r="G23" s="46" t="s">
        <v>3738</v>
      </c>
      <c r="H23" s="34" t="s">
        <v>3746</v>
      </c>
      <c r="I23" s="45">
        <v>2</v>
      </c>
      <c r="J23" s="45">
        <v>100</v>
      </c>
      <c r="K23" s="47"/>
      <c r="L23" s="34"/>
      <c r="M23" s="46"/>
      <c r="N23" s="34"/>
      <c r="O23" s="8"/>
    </row>
    <row r="24" spans="1:15" x14ac:dyDescent="0.35">
      <c r="A24" s="8"/>
      <c r="B24" s="26">
        <v>100</v>
      </c>
      <c r="C24" s="46">
        <v>20103001</v>
      </c>
      <c r="D24" s="46" t="s">
        <v>2727</v>
      </c>
      <c r="E24" s="46">
        <v>3</v>
      </c>
      <c r="F24" s="46">
        <v>1</v>
      </c>
      <c r="G24" s="46" t="s">
        <v>2067</v>
      </c>
      <c r="H24" s="34" t="s">
        <v>1326</v>
      </c>
      <c r="I24" s="45">
        <v>2</v>
      </c>
      <c r="J24" s="46">
        <v>50</v>
      </c>
      <c r="K24" s="46">
        <v>3</v>
      </c>
      <c r="L24" s="34" t="s">
        <v>2295</v>
      </c>
      <c r="M24" s="46">
        <v>200</v>
      </c>
      <c r="N24" s="34"/>
      <c r="O24" s="8"/>
    </row>
    <row r="25" spans="1:15" x14ac:dyDescent="0.35">
      <c r="A25" s="8"/>
      <c r="B25" s="26">
        <v>100</v>
      </c>
      <c r="C25" s="46">
        <v>20103002</v>
      </c>
      <c r="D25" s="46" t="s">
        <v>2728</v>
      </c>
      <c r="E25" s="46">
        <v>3</v>
      </c>
      <c r="F25" s="46">
        <v>1</v>
      </c>
      <c r="G25" s="46" t="s">
        <v>1280</v>
      </c>
      <c r="H25" s="34" t="s">
        <v>1327</v>
      </c>
      <c r="I25" s="45">
        <v>2</v>
      </c>
      <c r="J25" s="46">
        <v>50</v>
      </c>
      <c r="K25" s="46">
        <v>1</v>
      </c>
      <c r="L25" s="34" t="s">
        <v>2107</v>
      </c>
      <c r="M25" s="46">
        <v>50</v>
      </c>
      <c r="N25" s="34"/>
      <c r="O25" s="8"/>
    </row>
    <row r="26" spans="1:15" x14ac:dyDescent="0.35">
      <c r="A26" s="8"/>
      <c r="B26" s="26">
        <v>100</v>
      </c>
      <c r="C26" s="46">
        <v>20103003</v>
      </c>
      <c r="D26" s="46" t="s">
        <v>2729</v>
      </c>
      <c r="E26" s="46">
        <v>3</v>
      </c>
      <c r="F26" s="46">
        <v>1</v>
      </c>
      <c r="G26" s="46" t="s">
        <v>2073</v>
      </c>
      <c r="H26" s="34" t="s">
        <v>2075</v>
      </c>
      <c r="I26" s="45">
        <v>2</v>
      </c>
      <c r="J26" s="46">
        <v>20</v>
      </c>
      <c r="K26" s="46">
        <v>3</v>
      </c>
      <c r="L26" s="34" t="s">
        <v>2294</v>
      </c>
      <c r="M26" s="46">
        <v>100</v>
      </c>
      <c r="N26" s="34"/>
      <c r="O26" s="8"/>
    </row>
    <row r="27" spans="1:15" x14ac:dyDescent="0.35">
      <c r="A27" s="8"/>
      <c r="B27" s="26">
        <v>100</v>
      </c>
      <c r="C27" s="46">
        <v>20103004</v>
      </c>
      <c r="D27" s="46" t="s">
        <v>2730</v>
      </c>
      <c r="E27" s="46">
        <v>3</v>
      </c>
      <c r="F27" s="46">
        <v>1</v>
      </c>
      <c r="G27" s="46" t="s">
        <v>2065</v>
      </c>
      <c r="H27" s="34" t="s">
        <v>2076</v>
      </c>
      <c r="I27" s="45">
        <v>2</v>
      </c>
      <c r="J27" s="46">
        <v>20</v>
      </c>
      <c r="K27" s="46">
        <v>3</v>
      </c>
      <c r="L27" s="34" t="s">
        <v>2294</v>
      </c>
      <c r="M27" s="46">
        <v>100</v>
      </c>
      <c r="N27" s="34"/>
      <c r="O27" s="8"/>
    </row>
    <row r="28" spans="1:15" x14ac:dyDescent="0.35">
      <c r="A28" s="8"/>
      <c r="B28" s="26">
        <v>100</v>
      </c>
      <c r="C28" s="46">
        <v>20103005</v>
      </c>
      <c r="D28" s="46" t="s">
        <v>2731</v>
      </c>
      <c r="E28" s="46">
        <v>3</v>
      </c>
      <c r="F28" s="46">
        <v>1</v>
      </c>
      <c r="G28" s="46" t="s">
        <v>2069</v>
      </c>
      <c r="H28" s="34" t="s">
        <v>2077</v>
      </c>
      <c r="I28" s="45">
        <v>2</v>
      </c>
      <c r="J28" s="46">
        <v>20</v>
      </c>
      <c r="K28" s="46">
        <v>3</v>
      </c>
      <c r="L28" s="34" t="s">
        <v>2103</v>
      </c>
      <c r="M28" s="46">
        <v>150</v>
      </c>
      <c r="N28" s="34"/>
      <c r="O28" s="8"/>
    </row>
    <row r="29" spans="1:15" x14ac:dyDescent="0.35">
      <c r="A29" s="8"/>
      <c r="B29" s="26">
        <v>100</v>
      </c>
      <c r="C29" s="46">
        <v>20103006</v>
      </c>
      <c r="D29" s="46" t="s">
        <v>2732</v>
      </c>
      <c r="E29" s="46">
        <v>3</v>
      </c>
      <c r="F29" s="46">
        <v>1</v>
      </c>
      <c r="G29" s="46" t="s">
        <v>2071</v>
      </c>
      <c r="H29" s="34" t="s">
        <v>1328</v>
      </c>
      <c r="I29" s="45">
        <v>2</v>
      </c>
      <c r="J29" s="46">
        <v>20</v>
      </c>
      <c r="K29" s="46">
        <v>4</v>
      </c>
      <c r="L29" s="34" t="s">
        <v>2103</v>
      </c>
      <c r="M29" s="46">
        <v>120</v>
      </c>
      <c r="N29" s="34"/>
      <c r="O29" s="8"/>
    </row>
    <row r="30" spans="1:15" x14ac:dyDescent="0.35">
      <c r="A30" s="8"/>
      <c r="B30" s="39">
        <v>100</v>
      </c>
      <c r="C30" s="46">
        <v>20103007</v>
      </c>
      <c r="D30" s="46" t="s">
        <v>2733</v>
      </c>
      <c r="E30" s="46">
        <v>3</v>
      </c>
      <c r="F30" s="46">
        <v>1</v>
      </c>
      <c r="G30" s="46" t="s">
        <v>1332</v>
      </c>
      <c r="H30" s="34" t="s">
        <v>1337</v>
      </c>
      <c r="I30" s="45">
        <v>2</v>
      </c>
      <c r="J30" s="46">
        <v>20</v>
      </c>
      <c r="K30" s="46">
        <v>3</v>
      </c>
      <c r="L30" s="34" t="s">
        <v>2107</v>
      </c>
      <c r="M30" s="46">
        <v>50</v>
      </c>
      <c r="N30" s="34"/>
      <c r="O30" s="8"/>
    </row>
    <row r="31" spans="1:15" x14ac:dyDescent="0.35">
      <c r="A31" s="8"/>
      <c r="B31" s="39">
        <v>100</v>
      </c>
      <c r="C31" s="46">
        <v>20103008</v>
      </c>
      <c r="D31" s="46" t="s">
        <v>2734</v>
      </c>
      <c r="E31" s="46">
        <v>3</v>
      </c>
      <c r="F31" s="46">
        <v>1</v>
      </c>
      <c r="G31" s="46" t="s">
        <v>1335</v>
      </c>
      <c r="H31" s="34" t="s">
        <v>1336</v>
      </c>
      <c r="I31" s="45">
        <v>2</v>
      </c>
      <c r="J31" s="46">
        <v>20</v>
      </c>
      <c r="K31" s="46">
        <v>5</v>
      </c>
      <c r="L31" s="34" t="s">
        <v>2107</v>
      </c>
      <c r="M31" s="46">
        <v>50</v>
      </c>
      <c r="N31" s="34"/>
      <c r="O31" s="8"/>
    </row>
    <row r="32" spans="1:15" x14ac:dyDescent="0.35">
      <c r="A32" s="8"/>
      <c r="B32" s="39">
        <v>100</v>
      </c>
      <c r="C32" s="46">
        <v>20104001</v>
      </c>
      <c r="D32" s="46" t="s">
        <v>2735</v>
      </c>
      <c r="E32" s="46">
        <v>4</v>
      </c>
      <c r="F32" s="46"/>
      <c r="G32" s="46" t="s">
        <v>2105</v>
      </c>
      <c r="H32" s="34" t="s">
        <v>2106</v>
      </c>
      <c r="I32" s="45">
        <v>2</v>
      </c>
      <c r="J32" s="46">
        <v>100</v>
      </c>
      <c r="K32" s="46"/>
      <c r="L32" s="34"/>
      <c r="M32" s="46"/>
      <c r="N32" s="34"/>
      <c r="O32" s="8"/>
    </row>
    <row r="33" spans="1:15" x14ac:dyDescent="0.35">
      <c r="A33" s="8"/>
      <c r="B33" s="39">
        <v>100</v>
      </c>
      <c r="C33" s="46">
        <v>20104002</v>
      </c>
      <c r="D33" s="46" t="s">
        <v>2519</v>
      </c>
      <c r="E33" s="46">
        <v>4</v>
      </c>
      <c r="F33" s="46"/>
      <c r="G33" s="46" t="s">
        <v>2074</v>
      </c>
      <c r="H33" s="34" t="s">
        <v>2078</v>
      </c>
      <c r="I33" s="45">
        <v>2</v>
      </c>
      <c r="J33" s="46">
        <v>50</v>
      </c>
      <c r="K33" s="46">
        <v>2</v>
      </c>
      <c r="L33" s="34" t="s">
        <v>2107</v>
      </c>
      <c r="M33" s="46">
        <v>50</v>
      </c>
      <c r="N33" s="34"/>
      <c r="O33" s="8"/>
    </row>
    <row r="34" spans="1:15" x14ac:dyDescent="0.35">
      <c r="A34" s="8"/>
      <c r="B34" s="39">
        <v>100</v>
      </c>
      <c r="C34" s="46">
        <v>20104003</v>
      </c>
      <c r="D34" s="46" t="s">
        <v>2736</v>
      </c>
      <c r="E34" s="46">
        <v>4</v>
      </c>
      <c r="F34" s="46"/>
      <c r="G34" s="46" t="s">
        <v>1281</v>
      </c>
      <c r="H34" s="34" t="s">
        <v>1329</v>
      </c>
      <c r="I34" s="45">
        <v>2</v>
      </c>
      <c r="J34" s="46">
        <v>50</v>
      </c>
      <c r="K34" s="46">
        <v>1</v>
      </c>
      <c r="L34" s="34" t="s">
        <v>1845</v>
      </c>
      <c r="M34" s="46">
        <v>50</v>
      </c>
      <c r="N34" s="34"/>
      <c r="O34" s="8"/>
    </row>
    <row r="35" spans="1:15" x14ac:dyDescent="0.35">
      <c r="A35" s="8"/>
      <c r="B35" s="39">
        <v>100</v>
      </c>
      <c r="C35" s="46">
        <v>20104004</v>
      </c>
      <c r="D35" s="46" t="s">
        <v>2371</v>
      </c>
      <c r="E35" s="46">
        <v>4</v>
      </c>
      <c r="F35" s="46"/>
      <c r="G35" s="46" t="s">
        <v>1331</v>
      </c>
      <c r="H35" s="34" t="s">
        <v>1334</v>
      </c>
      <c r="I35" s="45">
        <v>2</v>
      </c>
      <c r="J35" s="46">
        <v>50</v>
      </c>
      <c r="K35" s="46">
        <v>3</v>
      </c>
      <c r="L35" s="34" t="s">
        <v>1844</v>
      </c>
      <c r="M35" s="46">
        <v>50</v>
      </c>
      <c r="N35" s="34"/>
      <c r="O35" s="8"/>
    </row>
    <row r="36" spans="1:15" x14ac:dyDescent="0.35">
      <c r="A36" s="8"/>
      <c r="B36" s="39">
        <v>100</v>
      </c>
      <c r="C36" s="46">
        <v>20104005</v>
      </c>
      <c r="D36" s="46" t="s">
        <v>2737</v>
      </c>
      <c r="E36" s="46">
        <v>4</v>
      </c>
      <c r="F36" s="46"/>
      <c r="G36" s="46" t="s">
        <v>2102</v>
      </c>
      <c r="H36" s="34" t="s">
        <v>2104</v>
      </c>
      <c r="I36" s="45">
        <v>2</v>
      </c>
      <c r="J36" s="46">
        <v>50</v>
      </c>
      <c r="K36" s="46">
        <v>3</v>
      </c>
      <c r="L36" s="34" t="s">
        <v>2103</v>
      </c>
      <c r="M36" s="46">
        <v>50</v>
      </c>
      <c r="N36" s="34"/>
      <c r="O36" s="8"/>
    </row>
    <row r="37" spans="1:15" x14ac:dyDescent="0.35">
      <c r="A37" s="8"/>
      <c r="B37" s="39">
        <v>100</v>
      </c>
      <c r="C37" s="46">
        <v>20104006</v>
      </c>
      <c r="D37" s="46" t="s">
        <v>2738</v>
      </c>
      <c r="E37" s="46">
        <v>4</v>
      </c>
      <c r="F37" s="46"/>
      <c r="G37" s="46" t="s">
        <v>1282</v>
      </c>
      <c r="H37" s="34" t="s">
        <v>1330</v>
      </c>
      <c r="I37" s="45">
        <v>2</v>
      </c>
      <c r="J37" s="46">
        <v>50</v>
      </c>
      <c r="K37" s="46">
        <v>5</v>
      </c>
      <c r="L37" s="34" t="s">
        <v>1848</v>
      </c>
      <c r="M37" s="46">
        <v>50</v>
      </c>
      <c r="N37" s="34"/>
      <c r="O37" s="8"/>
    </row>
    <row r="38" spans="1:15" x14ac:dyDescent="0.35">
      <c r="A38" s="8"/>
      <c r="B38" s="39">
        <v>100</v>
      </c>
      <c r="C38" s="46">
        <v>20105001</v>
      </c>
      <c r="D38" s="46" t="s">
        <v>2739</v>
      </c>
      <c r="E38" s="46">
        <v>5</v>
      </c>
      <c r="F38" s="46"/>
      <c r="G38" s="46" t="s">
        <v>1283</v>
      </c>
      <c r="H38" s="34" t="s">
        <v>1333</v>
      </c>
      <c r="I38" s="45">
        <v>2</v>
      </c>
      <c r="J38" s="46">
        <v>50</v>
      </c>
      <c r="K38" s="46"/>
      <c r="L38" s="34" t="s">
        <v>1846</v>
      </c>
      <c r="M38" s="46"/>
      <c r="N38" s="34"/>
      <c r="O38" s="8"/>
    </row>
    <row r="39" spans="1:15" x14ac:dyDescent="0.35">
      <c r="A39" s="8"/>
      <c r="B39" s="39">
        <v>100</v>
      </c>
      <c r="C39" s="46">
        <v>20105002</v>
      </c>
      <c r="D39" s="46" t="s">
        <v>2740</v>
      </c>
      <c r="E39" s="46">
        <v>5</v>
      </c>
      <c r="F39" s="46"/>
      <c r="G39" s="46" t="s">
        <v>1284</v>
      </c>
      <c r="H39" s="34" t="s">
        <v>1339</v>
      </c>
      <c r="I39" s="45">
        <v>2</v>
      </c>
      <c r="J39" s="46">
        <v>50</v>
      </c>
      <c r="K39" s="46"/>
      <c r="L39" s="34" t="s">
        <v>1847</v>
      </c>
      <c r="M39" s="46"/>
      <c r="N39" s="34"/>
      <c r="O39" s="8"/>
    </row>
    <row r="40" spans="1:15" x14ac:dyDescent="0.35">
      <c r="A40" s="8"/>
      <c r="B40" s="26">
        <v>100</v>
      </c>
      <c r="C40" s="46">
        <v>20105003</v>
      </c>
      <c r="D40" s="46" t="s">
        <v>2372</v>
      </c>
      <c r="E40" s="46">
        <v>5</v>
      </c>
      <c r="F40" s="46"/>
      <c r="G40" s="46" t="s">
        <v>1286</v>
      </c>
      <c r="H40" s="34" t="s">
        <v>1338</v>
      </c>
      <c r="I40" s="45">
        <v>2</v>
      </c>
      <c r="J40" s="46">
        <v>50</v>
      </c>
      <c r="K40" s="46"/>
      <c r="L40" s="34" t="s">
        <v>1843</v>
      </c>
      <c r="M40" s="46"/>
      <c r="N40" s="34"/>
      <c r="O40" s="8"/>
    </row>
    <row r="41" spans="1:15" x14ac:dyDescent="0.35">
      <c r="A41" s="8"/>
      <c r="B41" s="39">
        <v>100</v>
      </c>
      <c r="C41" s="46">
        <v>20105101</v>
      </c>
      <c r="D41" s="46" t="s">
        <v>3739</v>
      </c>
      <c r="E41" s="46">
        <v>5</v>
      </c>
      <c r="F41" s="46"/>
      <c r="G41" s="46" t="s">
        <v>3741</v>
      </c>
      <c r="H41" s="34" t="s">
        <v>3747</v>
      </c>
      <c r="I41" s="47">
        <v>2</v>
      </c>
      <c r="J41" s="46">
        <v>100</v>
      </c>
      <c r="K41" s="46"/>
      <c r="L41" s="34" t="s">
        <v>2107</v>
      </c>
      <c r="M41" s="46"/>
      <c r="N41" s="34"/>
      <c r="O41" s="8"/>
    </row>
    <row r="42" spans="1:15" x14ac:dyDescent="0.35">
      <c r="A42" s="8"/>
      <c r="B42" s="39">
        <v>100</v>
      </c>
      <c r="C42" s="46">
        <v>20105102</v>
      </c>
      <c r="D42" s="46" t="s">
        <v>3740</v>
      </c>
      <c r="E42" s="46">
        <v>5</v>
      </c>
      <c r="F42" s="46"/>
      <c r="G42" s="46" t="s">
        <v>3742</v>
      </c>
      <c r="H42" s="34" t="s">
        <v>3748</v>
      </c>
      <c r="I42" s="47">
        <v>2</v>
      </c>
      <c r="J42" s="46">
        <v>100</v>
      </c>
      <c r="K42" s="46"/>
      <c r="L42" s="34" t="s">
        <v>2107</v>
      </c>
      <c r="M42" s="46"/>
      <c r="N42" s="34"/>
      <c r="O42" s="8"/>
    </row>
    <row r="43" spans="1:15" x14ac:dyDescent="0.35">
      <c r="A43" s="8"/>
      <c r="B43" s="26">
        <v>100</v>
      </c>
      <c r="C43" s="46">
        <v>20106001</v>
      </c>
      <c r="D43" s="46" t="s">
        <v>2741</v>
      </c>
      <c r="E43" s="46">
        <v>6</v>
      </c>
      <c r="F43" s="46"/>
      <c r="G43" s="46" t="s">
        <v>1323</v>
      </c>
      <c r="H43" s="34" t="s">
        <v>1340</v>
      </c>
      <c r="I43" s="45">
        <v>2</v>
      </c>
      <c r="J43" s="46">
        <v>20</v>
      </c>
      <c r="K43" s="46"/>
      <c r="L43" s="34" t="s">
        <v>1908</v>
      </c>
      <c r="M43" s="46">
        <v>20201001</v>
      </c>
      <c r="N43" s="34"/>
      <c r="O43" s="8"/>
    </row>
    <row r="44" spans="1:15" x14ac:dyDescent="0.35">
      <c r="A44" s="8"/>
      <c r="B44" s="26">
        <v>100</v>
      </c>
      <c r="C44" s="46">
        <v>20106002</v>
      </c>
      <c r="D44" s="46" t="s">
        <v>2742</v>
      </c>
      <c r="E44" s="46">
        <v>6</v>
      </c>
      <c r="F44" s="46"/>
      <c r="G44" s="46" t="s">
        <v>1324</v>
      </c>
      <c r="H44" s="34" t="s">
        <v>1341</v>
      </c>
      <c r="I44" s="45">
        <v>2</v>
      </c>
      <c r="J44" s="46">
        <v>20</v>
      </c>
      <c r="K44" s="46"/>
      <c r="L44" s="34" t="s">
        <v>1909</v>
      </c>
      <c r="M44" s="46">
        <v>20201002</v>
      </c>
      <c r="N44" s="34"/>
      <c r="O44" s="8"/>
    </row>
    <row r="45" spans="1:15" x14ac:dyDescent="0.35">
      <c r="A45" s="8"/>
      <c r="B45" s="39">
        <v>100</v>
      </c>
      <c r="C45" s="46">
        <v>20107001</v>
      </c>
      <c r="D45" s="46" t="s">
        <v>2743</v>
      </c>
      <c r="E45" s="46">
        <v>7</v>
      </c>
      <c r="F45" s="46"/>
      <c r="G45" s="46" t="s">
        <v>1307</v>
      </c>
      <c r="H45" s="34" t="s">
        <v>1342</v>
      </c>
      <c r="I45" s="46">
        <v>1</v>
      </c>
      <c r="J45" s="46">
        <v>1</v>
      </c>
      <c r="K45" s="46"/>
      <c r="L45" s="34"/>
      <c r="M45" s="46">
        <v>20201003</v>
      </c>
      <c r="N45" s="34"/>
      <c r="O45" s="8"/>
    </row>
    <row r="46" spans="1:15" x14ac:dyDescent="0.35">
      <c r="A46" s="8"/>
      <c r="B46" s="39">
        <v>100</v>
      </c>
      <c r="C46" s="46">
        <v>20107002</v>
      </c>
      <c r="D46" s="46" t="s">
        <v>2744</v>
      </c>
      <c r="E46" s="46">
        <v>7</v>
      </c>
      <c r="F46" s="46"/>
      <c r="G46" s="46" t="s">
        <v>1308</v>
      </c>
      <c r="H46" s="34" t="s">
        <v>1343</v>
      </c>
      <c r="I46" s="46">
        <v>1</v>
      </c>
      <c r="J46" s="46">
        <v>1</v>
      </c>
      <c r="K46" s="46"/>
      <c r="L46" s="34"/>
      <c r="M46" s="46">
        <v>20201004</v>
      </c>
      <c r="N46" s="34"/>
      <c r="O46" s="8"/>
    </row>
    <row r="47" spans="1:15" x14ac:dyDescent="0.35">
      <c r="A47" s="8"/>
      <c r="B47" s="26">
        <v>100</v>
      </c>
      <c r="C47" s="46">
        <v>20108001</v>
      </c>
      <c r="D47" s="46" t="s">
        <v>2745</v>
      </c>
      <c r="E47" s="46">
        <v>8</v>
      </c>
      <c r="F47" s="46"/>
      <c r="G47" s="46" t="s">
        <v>1285</v>
      </c>
      <c r="H47" s="34" t="s">
        <v>1344</v>
      </c>
      <c r="I47" s="46">
        <v>2</v>
      </c>
      <c r="J47" s="46">
        <v>1</v>
      </c>
      <c r="K47" s="46"/>
      <c r="L47" s="34"/>
      <c r="M47" s="46"/>
      <c r="N47" s="34"/>
      <c r="O47" s="8"/>
    </row>
    <row r="48" spans="1:15" x14ac:dyDescent="0.35">
      <c r="A48" s="8"/>
      <c r="B48" s="26">
        <v>100</v>
      </c>
      <c r="C48" s="46">
        <v>20108002</v>
      </c>
      <c r="D48" s="46" t="s">
        <v>2746</v>
      </c>
      <c r="E48" s="46">
        <v>8</v>
      </c>
      <c r="F48" s="46"/>
      <c r="G48" s="46" t="s">
        <v>1287</v>
      </c>
      <c r="H48" s="34" t="s">
        <v>1345</v>
      </c>
      <c r="I48" s="46">
        <v>2</v>
      </c>
      <c r="J48" s="46">
        <v>1</v>
      </c>
      <c r="K48" s="46"/>
      <c r="L48" s="34"/>
      <c r="M48" s="46"/>
      <c r="N48" s="34"/>
      <c r="O48" s="8"/>
    </row>
    <row r="49" spans="1:15" x14ac:dyDescent="0.35">
      <c r="A49" s="8"/>
      <c r="B49" s="26">
        <v>100</v>
      </c>
      <c r="C49" s="46">
        <v>20109001</v>
      </c>
      <c r="D49" s="46" t="s">
        <v>2747</v>
      </c>
      <c r="E49" s="46">
        <v>9</v>
      </c>
      <c r="F49" s="46"/>
      <c r="G49" s="46" t="s">
        <v>1303</v>
      </c>
      <c r="H49" s="34" t="s">
        <v>1346</v>
      </c>
      <c r="I49" s="46">
        <v>2</v>
      </c>
      <c r="J49" s="46">
        <v>10</v>
      </c>
      <c r="K49" s="46"/>
      <c r="L49" s="34"/>
      <c r="M49" s="46"/>
      <c r="N49" s="34"/>
      <c r="O49" s="8"/>
    </row>
    <row r="50" spans="1:15" x14ac:dyDescent="0.35">
      <c r="A50" s="8"/>
      <c r="B50" s="26">
        <v>100</v>
      </c>
      <c r="C50" s="46">
        <v>20109002</v>
      </c>
      <c r="D50" s="46" t="s">
        <v>2748</v>
      </c>
      <c r="E50" s="46">
        <v>9</v>
      </c>
      <c r="F50" s="46"/>
      <c r="G50" s="46" t="s">
        <v>1302</v>
      </c>
      <c r="H50" s="34" t="s">
        <v>1347</v>
      </c>
      <c r="I50" s="46">
        <v>1</v>
      </c>
      <c r="J50" s="46">
        <v>1</v>
      </c>
      <c r="K50" s="46"/>
      <c r="L50" s="34"/>
      <c r="M50" s="46"/>
      <c r="N50" s="34"/>
      <c r="O50" s="8"/>
    </row>
    <row r="51" spans="1:15" x14ac:dyDescent="0.35">
      <c r="A51" s="8"/>
      <c r="B51" s="26">
        <v>100</v>
      </c>
      <c r="C51" s="46"/>
      <c r="D51" s="46"/>
      <c r="E51" s="46"/>
      <c r="F51" s="46"/>
      <c r="G51" s="46"/>
      <c r="H51" s="34"/>
      <c r="I51" s="46"/>
      <c r="J51" s="46"/>
      <c r="K51" s="46"/>
      <c r="L51" s="34"/>
      <c r="M51" s="46"/>
      <c r="N51" s="34"/>
      <c r="O51" s="8"/>
    </row>
    <row r="52" spans="1:15" x14ac:dyDescent="0.35">
      <c r="A52" s="8"/>
      <c r="B52" s="26">
        <v>100</v>
      </c>
      <c r="C52" s="46"/>
      <c r="D52" s="46"/>
      <c r="E52" s="46"/>
      <c r="F52" s="46"/>
      <c r="G52" s="46"/>
      <c r="H52" s="34"/>
      <c r="I52" s="46"/>
      <c r="J52" s="46"/>
      <c r="K52" s="46"/>
      <c r="L52" s="34"/>
      <c r="M52" s="46"/>
      <c r="N52" s="34"/>
      <c r="O52" s="8"/>
    </row>
    <row r="53" spans="1:15" x14ac:dyDescent="0.35">
      <c r="A53" s="8"/>
      <c r="B53" s="26">
        <v>100</v>
      </c>
      <c r="C53" s="46"/>
      <c r="D53" s="46"/>
      <c r="E53" s="46"/>
      <c r="F53" s="46"/>
      <c r="G53" s="46"/>
      <c r="H53" s="34"/>
      <c r="I53" s="46"/>
      <c r="J53" s="46"/>
      <c r="K53" s="46"/>
      <c r="L53" s="34"/>
      <c r="M53" s="46"/>
      <c r="N53" s="34"/>
      <c r="O53" s="8"/>
    </row>
    <row r="54" spans="1:15" x14ac:dyDescent="0.35">
      <c r="A54" s="8"/>
      <c r="B54" s="26">
        <v>100</v>
      </c>
      <c r="C54" s="46"/>
      <c r="D54" s="46"/>
      <c r="E54" s="46"/>
      <c r="F54" s="46"/>
      <c r="G54" s="46"/>
      <c r="H54" s="34"/>
      <c r="I54" s="46"/>
      <c r="J54" s="46"/>
      <c r="K54" s="46"/>
      <c r="L54" s="34"/>
      <c r="M54" s="46"/>
      <c r="N54" s="34"/>
      <c r="O54" s="8"/>
    </row>
    <row r="55" spans="1:15" x14ac:dyDescent="0.35">
      <c r="A55" s="8"/>
      <c r="B55" s="26">
        <v>100</v>
      </c>
      <c r="C55" s="46"/>
      <c r="D55" s="46"/>
      <c r="E55" s="46"/>
      <c r="F55" s="46"/>
      <c r="G55" s="46"/>
      <c r="H55" s="34"/>
      <c r="I55" s="46"/>
      <c r="J55" s="46"/>
      <c r="K55" s="46"/>
      <c r="L55" s="34"/>
      <c r="M55" s="46"/>
      <c r="N55" s="34"/>
      <c r="O55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AD40-E445-49F0-9953-D9FFBBC3F5C2}">
  <sheetPr codeName="Sheet25">
    <tabColor rgb="FFC00000"/>
  </sheetPr>
  <dimension ref="A1:F6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4" width="15.625" style="10" customWidth="1"/>
    <col min="5" max="5" width="80.625" style="10" customWidth="1"/>
    <col min="6" max="6" width="50.625" style="10" customWidth="1"/>
    <col min="7" max="16384" width="10.625" style="10"/>
  </cols>
  <sheetData>
    <row r="1" spans="1:6" x14ac:dyDescent="0.35">
      <c r="A1" s="11" t="s">
        <v>3</v>
      </c>
      <c r="B1" s="4" t="s">
        <v>74</v>
      </c>
      <c r="C1" s="5" t="s">
        <v>38</v>
      </c>
      <c r="D1" s="5" t="s">
        <v>38</v>
      </c>
      <c r="E1" s="5" t="s">
        <v>1348</v>
      </c>
      <c r="F1" s="6" t="s">
        <v>74</v>
      </c>
    </row>
    <row r="2" spans="1:6" x14ac:dyDescent="0.35">
      <c r="A2" s="12" t="s">
        <v>6</v>
      </c>
      <c r="B2" s="1" t="s">
        <v>30</v>
      </c>
      <c r="C2" s="2" t="s">
        <v>33</v>
      </c>
      <c r="D2" s="2" t="s">
        <v>70</v>
      </c>
      <c r="E2" s="2" t="s">
        <v>1349</v>
      </c>
      <c r="F2" s="3" t="s">
        <v>74</v>
      </c>
    </row>
    <row r="3" spans="1:6" x14ac:dyDescent="0.35">
      <c r="A3" s="24" t="s">
        <v>9</v>
      </c>
      <c r="B3" s="25" t="s">
        <v>31</v>
      </c>
      <c r="C3" s="26" t="s">
        <v>1350</v>
      </c>
      <c r="D3" s="26" t="s">
        <v>1351</v>
      </c>
      <c r="E3" s="26" t="s">
        <v>1352</v>
      </c>
      <c r="F3" s="25" t="s">
        <v>80</v>
      </c>
    </row>
    <row r="4" spans="1:6" x14ac:dyDescent="0.35">
      <c r="A4" s="27" t="s">
        <v>104</v>
      </c>
      <c r="B4" s="27"/>
      <c r="C4" s="27" t="s">
        <v>1353</v>
      </c>
      <c r="D4" s="27" t="s">
        <v>1354</v>
      </c>
      <c r="E4" s="30" t="s">
        <v>1355</v>
      </c>
      <c r="F4" s="27" t="s">
        <v>128</v>
      </c>
    </row>
    <row r="5" spans="1:6" x14ac:dyDescent="0.35">
      <c r="A5" s="28"/>
      <c r="B5" s="26">
        <v>100</v>
      </c>
      <c r="C5" s="26">
        <v>20201001</v>
      </c>
      <c r="D5" s="26">
        <v>1</v>
      </c>
      <c r="E5" s="33" t="s">
        <v>1849</v>
      </c>
      <c r="F5" s="28" t="s">
        <v>1356</v>
      </c>
    </row>
    <row r="6" spans="1:6" x14ac:dyDescent="0.35">
      <c r="A6" s="28"/>
      <c r="B6" s="26">
        <v>100</v>
      </c>
      <c r="C6" s="26">
        <v>20201002</v>
      </c>
      <c r="D6" s="26">
        <v>1</v>
      </c>
      <c r="E6" s="33" t="s">
        <v>1850</v>
      </c>
      <c r="F6" s="28" t="s">
        <v>1357</v>
      </c>
    </row>
    <row r="7" spans="1:6" x14ac:dyDescent="0.35">
      <c r="A7" s="28"/>
      <c r="B7" s="26">
        <v>100</v>
      </c>
      <c r="C7" s="26">
        <v>20201003</v>
      </c>
      <c r="D7" s="26">
        <v>1</v>
      </c>
      <c r="E7" s="33" t="s">
        <v>1910</v>
      </c>
      <c r="F7" s="28" t="s">
        <v>1912</v>
      </c>
    </row>
    <row r="8" spans="1:6" x14ac:dyDescent="0.35">
      <c r="A8" s="28"/>
      <c r="B8" s="26">
        <v>100</v>
      </c>
      <c r="C8" s="26">
        <v>20201004</v>
      </c>
      <c r="D8" s="26">
        <v>1</v>
      </c>
      <c r="E8" s="33" t="s">
        <v>1911</v>
      </c>
      <c r="F8" s="28" t="s">
        <v>1913</v>
      </c>
    </row>
    <row r="9" spans="1:6" x14ac:dyDescent="0.35">
      <c r="A9" s="38"/>
      <c r="B9" s="26">
        <v>100</v>
      </c>
      <c r="C9" s="39">
        <v>20201005</v>
      </c>
      <c r="D9" s="39">
        <v>1</v>
      </c>
      <c r="E9" s="41" t="s">
        <v>1851</v>
      </c>
      <c r="F9" s="38" t="s">
        <v>1362</v>
      </c>
    </row>
    <row r="10" spans="1:6" x14ac:dyDescent="0.35">
      <c r="A10" s="38"/>
      <c r="B10" s="26">
        <v>100</v>
      </c>
      <c r="C10" s="39">
        <v>20201006</v>
      </c>
      <c r="D10" s="39">
        <v>1</v>
      </c>
      <c r="E10" s="41" t="s">
        <v>2108</v>
      </c>
      <c r="F10" s="8" t="s">
        <v>2081</v>
      </c>
    </row>
    <row r="11" spans="1:6" x14ac:dyDescent="0.35">
      <c r="A11" s="38"/>
      <c r="B11" s="26">
        <v>100</v>
      </c>
      <c r="C11" s="39">
        <v>20201007</v>
      </c>
      <c r="D11" s="39">
        <v>1</v>
      </c>
      <c r="E11" s="41" t="s">
        <v>2109</v>
      </c>
      <c r="F11" s="8" t="s">
        <v>2082</v>
      </c>
    </row>
    <row r="12" spans="1:6" x14ac:dyDescent="0.35">
      <c r="A12" s="38"/>
      <c r="B12" s="26">
        <v>100</v>
      </c>
      <c r="C12" s="39">
        <v>20201008</v>
      </c>
      <c r="D12" s="39">
        <v>1</v>
      </c>
      <c r="E12" s="41" t="s">
        <v>2110</v>
      </c>
      <c r="F12" s="8" t="s">
        <v>2083</v>
      </c>
    </row>
    <row r="13" spans="1:6" x14ac:dyDescent="0.35">
      <c r="A13" s="38"/>
      <c r="B13" s="26">
        <v>100</v>
      </c>
      <c r="C13" s="39">
        <v>20201009</v>
      </c>
      <c r="D13" s="39">
        <v>1</v>
      </c>
      <c r="E13" s="41" t="s">
        <v>2111</v>
      </c>
      <c r="F13" s="8" t="s">
        <v>2084</v>
      </c>
    </row>
    <row r="14" spans="1:6" x14ac:dyDescent="0.35">
      <c r="A14" s="38"/>
      <c r="B14" s="26">
        <v>100</v>
      </c>
      <c r="C14" s="39">
        <v>20201010</v>
      </c>
      <c r="D14" s="39">
        <v>1</v>
      </c>
      <c r="E14" s="41" t="s">
        <v>2112</v>
      </c>
      <c r="F14" s="8" t="s">
        <v>2085</v>
      </c>
    </row>
    <row r="15" spans="1:6" x14ac:dyDescent="0.35">
      <c r="A15" s="38"/>
      <c r="B15" s="26">
        <v>100</v>
      </c>
      <c r="C15" s="39">
        <v>20201011</v>
      </c>
      <c r="D15" s="39">
        <v>1</v>
      </c>
      <c r="E15" s="41" t="s">
        <v>2113</v>
      </c>
      <c r="F15" s="8" t="s">
        <v>2086</v>
      </c>
    </row>
    <row r="16" spans="1:6" x14ac:dyDescent="0.35">
      <c r="A16" s="38"/>
      <c r="B16" s="26">
        <v>100</v>
      </c>
      <c r="C16" s="39">
        <v>20201012</v>
      </c>
      <c r="D16" s="39">
        <v>1</v>
      </c>
      <c r="E16" s="41" t="s">
        <v>2114</v>
      </c>
      <c r="F16" s="8" t="s">
        <v>2087</v>
      </c>
    </row>
    <row r="17" spans="1:6" x14ac:dyDescent="0.35">
      <c r="A17" s="38"/>
      <c r="B17" s="26">
        <v>100</v>
      </c>
      <c r="C17" s="39">
        <v>20201013</v>
      </c>
      <c r="D17" s="39">
        <v>1</v>
      </c>
      <c r="E17" s="41" t="s">
        <v>2115</v>
      </c>
      <c r="F17" s="8" t="s">
        <v>2088</v>
      </c>
    </row>
    <row r="18" spans="1:6" x14ac:dyDescent="0.35">
      <c r="A18" s="38"/>
      <c r="B18" s="26">
        <v>100</v>
      </c>
      <c r="C18" s="39">
        <v>20201014</v>
      </c>
      <c r="D18" s="39">
        <v>1</v>
      </c>
      <c r="E18" s="41" t="s">
        <v>2116</v>
      </c>
      <c r="F18" s="8" t="s">
        <v>2089</v>
      </c>
    </row>
    <row r="19" spans="1:6" x14ac:dyDescent="0.35">
      <c r="A19" s="38"/>
      <c r="B19" s="26">
        <v>100</v>
      </c>
      <c r="C19" s="39">
        <v>20201015</v>
      </c>
      <c r="D19" s="39">
        <v>1</v>
      </c>
      <c r="E19" s="41" t="s">
        <v>2117</v>
      </c>
      <c r="F19" s="8" t="s">
        <v>2090</v>
      </c>
    </row>
    <row r="20" spans="1:6" x14ac:dyDescent="0.35">
      <c r="A20" s="38"/>
      <c r="B20" s="26">
        <v>100</v>
      </c>
      <c r="C20" s="39">
        <v>20201016</v>
      </c>
      <c r="D20" s="39">
        <v>1</v>
      </c>
      <c r="E20" s="41" t="s">
        <v>2118</v>
      </c>
      <c r="F20" s="8" t="s">
        <v>2091</v>
      </c>
    </row>
    <row r="21" spans="1:6" x14ac:dyDescent="0.35">
      <c r="A21" s="38"/>
      <c r="B21" s="26">
        <v>100</v>
      </c>
      <c r="C21" s="39">
        <v>20201017</v>
      </c>
      <c r="D21" s="39">
        <v>1</v>
      </c>
      <c r="E21" s="41" t="s">
        <v>2119</v>
      </c>
      <c r="F21" s="8" t="s">
        <v>2092</v>
      </c>
    </row>
    <row r="22" spans="1:6" x14ac:dyDescent="0.35">
      <c r="A22" s="38"/>
      <c r="B22" s="26">
        <v>100</v>
      </c>
      <c r="C22" s="39">
        <v>20201018</v>
      </c>
      <c r="D22" s="39">
        <v>1</v>
      </c>
      <c r="E22" s="41" t="s">
        <v>2120</v>
      </c>
      <c r="F22" s="8" t="s">
        <v>2093</v>
      </c>
    </row>
    <row r="23" spans="1:6" x14ac:dyDescent="0.35">
      <c r="A23" s="38"/>
      <c r="B23" s="26">
        <v>100</v>
      </c>
      <c r="C23" s="39">
        <v>20201019</v>
      </c>
      <c r="D23" s="39">
        <v>1</v>
      </c>
      <c r="E23" s="41" t="s">
        <v>2121</v>
      </c>
      <c r="F23" s="8" t="s">
        <v>2094</v>
      </c>
    </row>
    <row r="24" spans="1:6" x14ac:dyDescent="0.35">
      <c r="A24" s="8"/>
      <c r="B24" s="7">
        <v>100</v>
      </c>
      <c r="C24" s="7">
        <v>20201020</v>
      </c>
      <c r="D24" s="7">
        <v>1</v>
      </c>
      <c r="E24" s="34" t="s">
        <v>2306</v>
      </c>
      <c r="F24" s="8" t="s">
        <v>2305</v>
      </c>
    </row>
    <row r="25" spans="1:6" x14ac:dyDescent="0.35">
      <c r="A25" s="8"/>
      <c r="B25" s="26">
        <v>100</v>
      </c>
      <c r="C25" s="39">
        <v>20201021</v>
      </c>
      <c r="D25" s="7">
        <v>1</v>
      </c>
      <c r="E25" s="34" t="s">
        <v>2562</v>
      </c>
      <c r="F25" s="8" t="s">
        <v>2552</v>
      </c>
    </row>
    <row r="26" spans="1:6" x14ac:dyDescent="0.35">
      <c r="A26" s="8"/>
      <c r="B26" s="7">
        <v>100</v>
      </c>
      <c r="C26" s="7">
        <v>20201022</v>
      </c>
      <c r="D26" s="7">
        <v>1</v>
      </c>
      <c r="E26" s="34" t="s">
        <v>2563</v>
      </c>
      <c r="F26" s="8" t="s">
        <v>2553</v>
      </c>
    </row>
    <row r="27" spans="1:6" x14ac:dyDescent="0.35">
      <c r="A27" s="8"/>
      <c r="B27" s="26">
        <v>100</v>
      </c>
      <c r="C27" s="39">
        <v>20201023</v>
      </c>
      <c r="D27" s="7">
        <v>1</v>
      </c>
      <c r="E27" s="34" t="s">
        <v>2564</v>
      </c>
      <c r="F27" s="8" t="s">
        <v>2554</v>
      </c>
    </row>
    <row r="28" spans="1:6" x14ac:dyDescent="0.35">
      <c r="A28" s="8"/>
      <c r="B28" s="7">
        <v>100</v>
      </c>
      <c r="C28" s="7">
        <v>20201024</v>
      </c>
      <c r="D28" s="7">
        <v>1</v>
      </c>
      <c r="E28" s="34" t="s">
        <v>2565</v>
      </c>
      <c r="F28" s="8" t="s">
        <v>2555</v>
      </c>
    </row>
    <row r="29" spans="1:6" x14ac:dyDescent="0.35">
      <c r="A29" s="8"/>
      <c r="B29" s="26">
        <v>100</v>
      </c>
      <c r="C29" s="39">
        <v>20201025</v>
      </c>
      <c r="D29" s="7">
        <v>1</v>
      </c>
      <c r="E29" s="34" t="s">
        <v>2566</v>
      </c>
      <c r="F29" s="8" t="s">
        <v>2558</v>
      </c>
    </row>
    <row r="30" spans="1:6" x14ac:dyDescent="0.35">
      <c r="A30" s="8"/>
      <c r="B30" s="7">
        <v>100</v>
      </c>
      <c r="C30" s="7">
        <v>20201026</v>
      </c>
      <c r="D30" s="7">
        <v>1</v>
      </c>
      <c r="E30" s="34" t="s">
        <v>2567</v>
      </c>
      <c r="F30" s="8" t="s">
        <v>2559</v>
      </c>
    </row>
    <row r="31" spans="1:6" x14ac:dyDescent="0.35">
      <c r="A31" s="8"/>
      <c r="B31" s="26">
        <v>100</v>
      </c>
      <c r="C31" s="39">
        <v>20201027</v>
      </c>
      <c r="D31" s="7">
        <v>1</v>
      </c>
      <c r="E31" s="34" t="s">
        <v>2568</v>
      </c>
      <c r="F31" s="8" t="s">
        <v>2556</v>
      </c>
    </row>
    <row r="32" spans="1:6" x14ac:dyDescent="0.35">
      <c r="A32" s="8"/>
      <c r="B32" s="7">
        <v>100</v>
      </c>
      <c r="C32" s="7">
        <v>20201028</v>
      </c>
      <c r="D32" s="7">
        <v>1</v>
      </c>
      <c r="E32" s="34" t="s">
        <v>2569</v>
      </c>
      <c r="F32" s="8" t="s">
        <v>2560</v>
      </c>
    </row>
    <row r="33" spans="1:6" x14ac:dyDescent="0.35">
      <c r="A33" s="8"/>
      <c r="B33" s="26">
        <v>100</v>
      </c>
      <c r="C33" s="39">
        <v>20201029</v>
      </c>
      <c r="D33" s="7">
        <v>1</v>
      </c>
      <c r="E33" s="34" t="s">
        <v>2570</v>
      </c>
      <c r="F33" s="8" t="s">
        <v>2561</v>
      </c>
    </row>
    <row r="34" spans="1:6" x14ac:dyDescent="0.35">
      <c r="A34" s="8"/>
      <c r="B34" s="7">
        <v>100</v>
      </c>
      <c r="C34" s="7">
        <v>20201030</v>
      </c>
      <c r="D34" s="7">
        <v>1</v>
      </c>
      <c r="E34" s="34" t="s">
        <v>2571</v>
      </c>
      <c r="F34" s="8" t="s">
        <v>2557</v>
      </c>
    </row>
    <row r="35" spans="1:6" x14ac:dyDescent="0.35">
      <c r="A35" s="8"/>
      <c r="B35" s="26">
        <v>100</v>
      </c>
      <c r="C35" s="39">
        <v>20201031</v>
      </c>
      <c r="D35" s="7">
        <v>1</v>
      </c>
      <c r="E35" s="34" t="s">
        <v>2572</v>
      </c>
      <c r="F35" s="8" t="s">
        <v>2545</v>
      </c>
    </row>
    <row r="36" spans="1:6" x14ac:dyDescent="0.35">
      <c r="A36" s="8"/>
      <c r="B36" s="7">
        <v>100</v>
      </c>
      <c r="C36" s="7">
        <v>20201032</v>
      </c>
      <c r="D36" s="7">
        <v>1</v>
      </c>
      <c r="E36" s="34" t="s">
        <v>2573</v>
      </c>
      <c r="F36" s="8" t="s">
        <v>2546</v>
      </c>
    </row>
    <row r="37" spans="1:6" x14ac:dyDescent="0.35">
      <c r="A37" s="8"/>
      <c r="B37" s="26">
        <v>100</v>
      </c>
      <c r="C37" s="39">
        <v>20201033</v>
      </c>
      <c r="D37" s="7">
        <v>1</v>
      </c>
      <c r="E37" s="34" t="s">
        <v>2574</v>
      </c>
      <c r="F37" s="8" t="s">
        <v>2547</v>
      </c>
    </row>
    <row r="38" spans="1:6" x14ac:dyDescent="0.35">
      <c r="A38" s="8"/>
      <c r="B38" s="7">
        <v>100</v>
      </c>
      <c r="C38" s="7">
        <v>20201034</v>
      </c>
      <c r="D38" s="7">
        <v>1</v>
      </c>
      <c r="E38" s="34" t="s">
        <v>2575</v>
      </c>
      <c r="F38" s="8" t="s">
        <v>2548</v>
      </c>
    </row>
    <row r="39" spans="1:6" x14ac:dyDescent="0.35">
      <c r="A39" s="8"/>
      <c r="B39" s="26">
        <v>100</v>
      </c>
      <c r="C39" s="39">
        <v>20201035</v>
      </c>
      <c r="D39" s="7">
        <v>1</v>
      </c>
      <c r="E39" s="34" t="s">
        <v>2573</v>
      </c>
      <c r="F39" s="8" t="s">
        <v>2549</v>
      </c>
    </row>
    <row r="40" spans="1:6" x14ac:dyDescent="0.35">
      <c r="A40" s="8"/>
      <c r="B40" s="7">
        <v>100</v>
      </c>
      <c r="C40" s="7">
        <v>20201036</v>
      </c>
      <c r="D40" s="7">
        <v>1</v>
      </c>
      <c r="E40" s="34" t="s">
        <v>2576</v>
      </c>
      <c r="F40" s="8" t="s">
        <v>730</v>
      </c>
    </row>
    <row r="41" spans="1:6" x14ac:dyDescent="0.35">
      <c r="A41" s="8"/>
      <c r="B41" s="26">
        <v>100</v>
      </c>
      <c r="C41" s="39">
        <v>20201037</v>
      </c>
      <c r="D41" s="7">
        <v>1</v>
      </c>
      <c r="E41" s="34" t="s">
        <v>2577</v>
      </c>
      <c r="F41" s="8" t="s">
        <v>623</v>
      </c>
    </row>
    <row r="42" spans="1:6" x14ac:dyDescent="0.35">
      <c r="A42" s="8"/>
      <c r="B42" s="7">
        <v>100</v>
      </c>
      <c r="C42" s="7">
        <v>20201038</v>
      </c>
      <c r="D42" s="7">
        <v>1</v>
      </c>
      <c r="E42" s="34" t="s">
        <v>2578</v>
      </c>
      <c r="F42" s="8" t="s">
        <v>2550</v>
      </c>
    </row>
    <row r="43" spans="1:6" x14ac:dyDescent="0.35">
      <c r="A43" s="8"/>
      <c r="B43" s="26">
        <v>100</v>
      </c>
      <c r="C43" s="39">
        <v>20201039</v>
      </c>
      <c r="D43" s="7">
        <v>1</v>
      </c>
      <c r="E43" s="34" t="s">
        <v>2579</v>
      </c>
      <c r="F43" s="8" t="s">
        <v>2551</v>
      </c>
    </row>
    <row r="44" spans="1:6" x14ac:dyDescent="0.35">
      <c r="A44" s="28"/>
      <c r="B44" s="26">
        <v>100</v>
      </c>
      <c r="C44" s="26">
        <v>20202001</v>
      </c>
      <c r="D44" s="26">
        <v>2</v>
      </c>
      <c r="E44" s="33" t="s">
        <v>1854</v>
      </c>
      <c r="F44" s="28" t="s">
        <v>1358</v>
      </c>
    </row>
    <row r="45" spans="1:6" x14ac:dyDescent="0.35">
      <c r="A45" s="28"/>
      <c r="B45" s="26">
        <v>100</v>
      </c>
      <c r="C45" s="26">
        <v>20202002</v>
      </c>
      <c r="D45" s="26">
        <v>2</v>
      </c>
      <c r="E45" s="33" t="s">
        <v>1855</v>
      </c>
      <c r="F45" s="28" t="s">
        <v>1359</v>
      </c>
    </row>
    <row r="46" spans="1:6" x14ac:dyDescent="0.35">
      <c r="A46" s="8"/>
      <c r="B46" s="26">
        <v>100</v>
      </c>
      <c r="C46" s="26">
        <v>20202003</v>
      </c>
      <c r="D46" s="7">
        <v>2</v>
      </c>
      <c r="E46" s="34" t="s">
        <v>1853</v>
      </c>
      <c r="F46" s="8" t="s">
        <v>1360</v>
      </c>
    </row>
    <row r="47" spans="1:6" x14ac:dyDescent="0.35">
      <c r="A47" s="8"/>
      <c r="B47" s="26">
        <v>100</v>
      </c>
      <c r="C47" s="26">
        <v>20202004</v>
      </c>
      <c r="D47" s="7">
        <v>2</v>
      </c>
      <c r="E47" s="34" t="s">
        <v>1852</v>
      </c>
      <c r="F47" s="8" t="s">
        <v>1361</v>
      </c>
    </row>
    <row r="48" spans="1:6" x14ac:dyDescent="0.35">
      <c r="A48" s="8" t="s">
        <v>104</v>
      </c>
      <c r="B48" s="26">
        <v>100</v>
      </c>
      <c r="C48" s="7">
        <v>20203001</v>
      </c>
      <c r="D48" s="7">
        <v>3</v>
      </c>
      <c r="E48" s="34"/>
      <c r="F48" s="8" t="s">
        <v>1363</v>
      </c>
    </row>
    <row r="49" spans="1:6" x14ac:dyDescent="0.35">
      <c r="A49" s="8" t="s">
        <v>104</v>
      </c>
      <c r="B49" s="26">
        <v>100</v>
      </c>
      <c r="C49" s="7">
        <v>20203002</v>
      </c>
      <c r="D49" s="7">
        <v>3</v>
      </c>
      <c r="E49" s="34"/>
      <c r="F49" s="8" t="s">
        <v>1363</v>
      </c>
    </row>
    <row r="50" spans="1:6" x14ac:dyDescent="0.35">
      <c r="A50" s="8"/>
      <c r="B50" s="26">
        <v>100</v>
      </c>
      <c r="C50" s="7"/>
      <c r="D50" s="7"/>
      <c r="E50" s="34"/>
      <c r="F50" s="8"/>
    </row>
    <row r="51" spans="1:6" x14ac:dyDescent="0.35">
      <c r="A51" s="8"/>
      <c r="B51" s="26">
        <v>100</v>
      </c>
      <c r="C51" s="7"/>
      <c r="D51" s="7"/>
      <c r="E51" s="34"/>
      <c r="F51" s="8"/>
    </row>
    <row r="52" spans="1:6" x14ac:dyDescent="0.35">
      <c r="A52" s="8"/>
      <c r="B52" s="26">
        <v>100</v>
      </c>
      <c r="C52" s="7"/>
      <c r="D52" s="7"/>
      <c r="E52" s="34"/>
      <c r="F52" s="8"/>
    </row>
    <row r="53" spans="1:6" x14ac:dyDescent="0.35">
      <c r="A53" s="8"/>
      <c r="B53" s="26">
        <v>100</v>
      </c>
      <c r="C53" s="7"/>
      <c r="D53" s="7"/>
      <c r="E53" s="34"/>
      <c r="F53" s="8"/>
    </row>
    <row r="54" spans="1:6" x14ac:dyDescent="0.35">
      <c r="A54" s="8"/>
      <c r="B54" s="26">
        <v>100</v>
      </c>
      <c r="C54" s="7"/>
      <c r="D54" s="7"/>
      <c r="E54" s="34"/>
      <c r="F54" s="8"/>
    </row>
    <row r="55" spans="1:6" x14ac:dyDescent="0.35">
      <c r="A55" s="8"/>
      <c r="B55" s="26">
        <v>100</v>
      </c>
      <c r="C55" s="7"/>
      <c r="D55" s="7"/>
      <c r="E55" s="34"/>
      <c r="F55" s="8"/>
    </row>
    <row r="56" spans="1:6" x14ac:dyDescent="0.35">
      <c r="A56" s="8"/>
      <c r="B56" s="26">
        <v>100</v>
      </c>
      <c r="C56" s="7"/>
      <c r="D56" s="7"/>
      <c r="E56" s="34"/>
      <c r="F56" s="8"/>
    </row>
    <row r="57" spans="1:6" x14ac:dyDescent="0.35">
      <c r="A57" s="8"/>
      <c r="B57" s="26">
        <v>100</v>
      </c>
      <c r="C57" s="7"/>
      <c r="D57" s="7"/>
      <c r="E57" s="34"/>
      <c r="F57" s="8"/>
    </row>
    <row r="58" spans="1:6" x14ac:dyDescent="0.35">
      <c r="A58" s="8"/>
      <c r="B58" s="26">
        <v>100</v>
      </c>
      <c r="C58" s="7"/>
      <c r="D58" s="7"/>
      <c r="E58" s="34"/>
      <c r="F58" s="8"/>
    </row>
    <row r="59" spans="1:6" x14ac:dyDescent="0.35">
      <c r="A59" s="8"/>
      <c r="B59" s="26">
        <v>100</v>
      </c>
      <c r="C59" s="7"/>
      <c r="D59" s="7"/>
      <c r="E59" s="34"/>
      <c r="F59" s="8"/>
    </row>
    <row r="60" spans="1:6" x14ac:dyDescent="0.35">
      <c r="A60" s="8"/>
      <c r="B60" s="26">
        <v>100</v>
      </c>
      <c r="C60" s="7"/>
      <c r="D60" s="7"/>
      <c r="E60" s="34"/>
      <c r="F6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6979D-1592-4124-9D6D-09343767A249}">
  <sheetPr codeName="Sheet28">
    <tabColor rgb="FFC00000"/>
  </sheetPr>
  <dimension ref="A1:L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10" customWidth="1"/>
    <col min="7" max="7" width="30.625" style="10" customWidth="1"/>
    <col min="8" max="8" width="15.625" style="10" customWidth="1"/>
    <col min="9" max="10" width="30.625" style="10" customWidth="1"/>
    <col min="11" max="11" width="20.625" style="10" customWidth="1"/>
    <col min="12" max="12" width="50.625" style="10" customWidth="1"/>
    <col min="13" max="16384" width="10.625" style="10"/>
  </cols>
  <sheetData>
    <row r="1" spans="1:12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40</v>
      </c>
      <c r="G1" s="5" t="s">
        <v>40</v>
      </c>
      <c r="H1" s="5" t="s">
        <v>38</v>
      </c>
      <c r="I1" s="5" t="s">
        <v>1914</v>
      </c>
      <c r="J1" s="42" t="s">
        <v>1915</v>
      </c>
      <c r="K1" s="42" t="s">
        <v>38</v>
      </c>
      <c r="L1" s="6" t="s">
        <v>74</v>
      </c>
    </row>
    <row r="2" spans="1:12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76</v>
      </c>
      <c r="G2" s="2" t="s">
        <v>159</v>
      </c>
      <c r="H2" s="2" t="s">
        <v>1916</v>
      </c>
      <c r="I2" s="2" t="s">
        <v>1917</v>
      </c>
      <c r="J2" s="43" t="s">
        <v>1918</v>
      </c>
      <c r="K2" s="43" t="s">
        <v>1919</v>
      </c>
      <c r="L2" s="3" t="s">
        <v>74</v>
      </c>
    </row>
    <row r="3" spans="1:12" x14ac:dyDescent="0.35">
      <c r="A3" s="24" t="s">
        <v>9</v>
      </c>
      <c r="B3" s="25" t="s">
        <v>31</v>
      </c>
      <c r="C3" s="26" t="s">
        <v>1920</v>
      </c>
      <c r="D3" s="26" t="s">
        <v>149</v>
      </c>
      <c r="E3" s="26" t="s">
        <v>1921</v>
      </c>
      <c r="F3" s="26" t="s">
        <v>1922</v>
      </c>
      <c r="G3" s="26" t="s">
        <v>1923</v>
      </c>
      <c r="H3" s="26" t="s">
        <v>1924</v>
      </c>
      <c r="I3" s="26" t="s">
        <v>1925</v>
      </c>
      <c r="J3" s="26" t="s">
        <v>1926</v>
      </c>
      <c r="K3" s="26" t="s">
        <v>1927</v>
      </c>
      <c r="L3" s="25" t="s">
        <v>80</v>
      </c>
    </row>
    <row r="4" spans="1:12" x14ac:dyDescent="0.35">
      <c r="A4" s="27" t="s">
        <v>104</v>
      </c>
      <c r="B4" s="27"/>
      <c r="C4" s="27" t="s">
        <v>1936</v>
      </c>
      <c r="D4" s="27" t="s">
        <v>1928</v>
      </c>
      <c r="E4" s="27" t="s">
        <v>1929</v>
      </c>
      <c r="F4" s="27" t="s">
        <v>1930</v>
      </c>
      <c r="G4" s="27" t="s">
        <v>1931</v>
      </c>
      <c r="H4" s="27" t="s">
        <v>1932</v>
      </c>
      <c r="I4" s="30" t="s">
        <v>1933</v>
      </c>
      <c r="J4" s="30" t="s">
        <v>1934</v>
      </c>
      <c r="K4" s="27" t="s">
        <v>1935</v>
      </c>
      <c r="L4" s="27" t="s">
        <v>128</v>
      </c>
    </row>
    <row r="5" spans="1:12" x14ac:dyDescent="0.35">
      <c r="A5" s="28"/>
      <c r="B5" s="26">
        <v>100</v>
      </c>
      <c r="C5" s="26">
        <v>20301001</v>
      </c>
      <c r="D5" s="26"/>
      <c r="E5" s="26">
        <v>1</v>
      </c>
      <c r="F5" s="26" t="s">
        <v>2066</v>
      </c>
      <c r="G5" s="29" t="s">
        <v>2129</v>
      </c>
      <c r="H5" s="26">
        <v>20103001</v>
      </c>
      <c r="I5" s="33" t="s">
        <v>2095</v>
      </c>
      <c r="J5" s="33" t="s">
        <v>2122</v>
      </c>
      <c r="K5" s="26">
        <v>5</v>
      </c>
      <c r="L5" s="28"/>
    </row>
    <row r="6" spans="1:12" x14ac:dyDescent="0.35">
      <c r="A6" s="28"/>
      <c r="B6" s="26">
        <v>100</v>
      </c>
      <c r="C6" s="26">
        <v>20301002</v>
      </c>
      <c r="D6" s="26"/>
      <c r="E6" s="26">
        <v>1</v>
      </c>
      <c r="F6" s="26" t="s">
        <v>2072</v>
      </c>
      <c r="G6" s="29" t="s">
        <v>2130</v>
      </c>
      <c r="H6" s="26">
        <v>20103003</v>
      </c>
      <c r="I6" s="33" t="s">
        <v>2096</v>
      </c>
      <c r="J6" s="33" t="s">
        <v>2123</v>
      </c>
      <c r="K6" s="26">
        <v>5</v>
      </c>
      <c r="L6" s="28"/>
    </row>
    <row r="7" spans="1:12" x14ac:dyDescent="0.35">
      <c r="A7" s="28"/>
      <c r="B7" s="26">
        <v>100</v>
      </c>
      <c r="C7" s="26">
        <v>20301003</v>
      </c>
      <c r="D7" s="26"/>
      <c r="E7" s="26">
        <v>1</v>
      </c>
      <c r="F7" s="26" t="s">
        <v>2064</v>
      </c>
      <c r="G7" s="29" t="s">
        <v>2131</v>
      </c>
      <c r="H7" s="26">
        <v>20103004</v>
      </c>
      <c r="I7" s="33" t="s">
        <v>2097</v>
      </c>
      <c r="J7" s="33" t="s">
        <v>2124</v>
      </c>
      <c r="K7" s="26">
        <v>5</v>
      </c>
      <c r="L7" s="28"/>
    </row>
    <row r="8" spans="1:12" x14ac:dyDescent="0.35">
      <c r="A8" s="28"/>
      <c r="B8" s="26">
        <v>100</v>
      </c>
      <c r="C8" s="26">
        <v>20301004</v>
      </c>
      <c r="D8" s="26"/>
      <c r="E8" s="26">
        <v>1</v>
      </c>
      <c r="F8" s="26" t="s">
        <v>2068</v>
      </c>
      <c r="G8" s="29" t="s">
        <v>2132</v>
      </c>
      <c r="H8" s="26">
        <v>20103005</v>
      </c>
      <c r="I8" s="33" t="s">
        <v>2098</v>
      </c>
      <c r="J8" s="33" t="s">
        <v>2125</v>
      </c>
      <c r="K8" s="26">
        <v>5</v>
      </c>
      <c r="L8" s="28"/>
    </row>
    <row r="9" spans="1:12" x14ac:dyDescent="0.35">
      <c r="A9" s="28"/>
      <c r="B9" s="26">
        <v>100</v>
      </c>
      <c r="C9" s="26">
        <v>20301005</v>
      </c>
      <c r="D9" s="26"/>
      <c r="E9" s="26">
        <v>1</v>
      </c>
      <c r="F9" s="26" t="s">
        <v>2070</v>
      </c>
      <c r="G9" s="29" t="s">
        <v>2133</v>
      </c>
      <c r="H9" s="26">
        <v>20103006</v>
      </c>
      <c r="I9" s="33" t="s">
        <v>2099</v>
      </c>
      <c r="J9" s="33" t="s">
        <v>2128</v>
      </c>
      <c r="K9" s="26">
        <v>5</v>
      </c>
      <c r="L9" s="28"/>
    </row>
    <row r="10" spans="1:12" x14ac:dyDescent="0.35">
      <c r="A10" s="28"/>
      <c r="B10" s="26">
        <v>100</v>
      </c>
      <c r="C10" s="26">
        <v>20301006</v>
      </c>
      <c r="D10" s="26"/>
      <c r="E10" s="26">
        <v>1</v>
      </c>
      <c r="F10" s="7" t="s">
        <v>2079</v>
      </c>
      <c r="G10" s="29" t="s">
        <v>2134</v>
      </c>
      <c r="H10" s="7">
        <v>20103007</v>
      </c>
      <c r="I10" s="33" t="s">
        <v>2100</v>
      </c>
      <c r="J10" s="33" t="s">
        <v>2126</v>
      </c>
      <c r="K10" s="26">
        <v>10</v>
      </c>
      <c r="L10" s="28"/>
    </row>
    <row r="11" spans="1:12" x14ac:dyDescent="0.35">
      <c r="A11" s="8"/>
      <c r="B11" s="26">
        <v>100</v>
      </c>
      <c r="C11" s="26">
        <v>20301007</v>
      </c>
      <c r="D11" s="7"/>
      <c r="E11" s="7">
        <v>1</v>
      </c>
      <c r="F11" s="7" t="s">
        <v>2080</v>
      </c>
      <c r="G11" s="9" t="s">
        <v>2135</v>
      </c>
      <c r="H11" s="7">
        <v>20103008</v>
      </c>
      <c r="I11" s="34" t="s">
        <v>2101</v>
      </c>
      <c r="J11" s="34" t="s">
        <v>2127</v>
      </c>
      <c r="K11" s="7">
        <v>10</v>
      </c>
      <c r="L11" s="8"/>
    </row>
    <row r="12" spans="1:12" x14ac:dyDescent="0.35">
      <c r="A12" s="8"/>
      <c r="B12" s="26">
        <v>100</v>
      </c>
      <c r="C12" s="7">
        <v>20302001</v>
      </c>
      <c r="D12" s="7"/>
      <c r="E12" s="7">
        <v>2</v>
      </c>
      <c r="F12" s="7" t="s">
        <v>2105</v>
      </c>
      <c r="G12" s="9" t="s">
        <v>2305</v>
      </c>
      <c r="H12" s="7">
        <v>20104001</v>
      </c>
      <c r="I12" s="34" t="s">
        <v>2307</v>
      </c>
      <c r="J12" s="34"/>
      <c r="K12" s="7">
        <v>5</v>
      </c>
      <c r="L12" s="8"/>
    </row>
    <row r="13" spans="1:12" x14ac:dyDescent="0.35">
      <c r="A13" s="8"/>
      <c r="B13" s="26">
        <v>100</v>
      </c>
      <c r="C13" s="7"/>
      <c r="D13" s="7"/>
      <c r="E13" s="7"/>
      <c r="F13" s="7"/>
      <c r="G13" s="9"/>
      <c r="H13" s="7"/>
      <c r="I13" s="34"/>
      <c r="J13" s="34"/>
      <c r="K13" s="7"/>
      <c r="L13" s="8"/>
    </row>
    <row r="14" spans="1:12" x14ac:dyDescent="0.35">
      <c r="A14" s="8"/>
      <c r="B14" s="26">
        <v>100</v>
      </c>
      <c r="C14" s="7"/>
      <c r="D14" s="7"/>
      <c r="E14" s="7"/>
      <c r="F14" s="7"/>
      <c r="G14" s="9"/>
      <c r="H14" s="7"/>
      <c r="I14" s="34"/>
      <c r="J14" s="34"/>
      <c r="K14" s="7"/>
      <c r="L14" s="8"/>
    </row>
    <row r="15" spans="1:12" x14ac:dyDescent="0.35">
      <c r="A15" s="8"/>
      <c r="B15" s="26">
        <v>100</v>
      </c>
      <c r="C15" s="7"/>
      <c r="D15" s="7"/>
      <c r="E15" s="7"/>
      <c r="F15" s="7"/>
      <c r="G15" s="9"/>
      <c r="H15" s="7"/>
      <c r="I15" s="34"/>
      <c r="J15" s="34"/>
      <c r="K15" s="7"/>
      <c r="L15" s="8"/>
    </row>
    <row r="16" spans="1:12" x14ac:dyDescent="0.35">
      <c r="A16" s="8"/>
      <c r="B16" s="26">
        <v>100</v>
      </c>
      <c r="C16" s="7"/>
      <c r="D16" s="7"/>
      <c r="E16" s="7"/>
      <c r="F16" s="7"/>
      <c r="G16" s="9"/>
      <c r="H16" s="7"/>
      <c r="I16" s="34"/>
      <c r="J16" s="34"/>
      <c r="K16" s="7"/>
      <c r="L16" s="8"/>
    </row>
    <row r="17" spans="1:12" x14ac:dyDescent="0.35">
      <c r="A17" s="8"/>
      <c r="B17" s="26">
        <v>100</v>
      </c>
      <c r="C17" s="7"/>
      <c r="D17" s="7"/>
      <c r="E17" s="7"/>
      <c r="F17" s="7"/>
      <c r="G17" s="9"/>
      <c r="H17" s="7"/>
      <c r="I17" s="34"/>
      <c r="J17" s="34"/>
      <c r="K17" s="7"/>
      <c r="L17" s="8"/>
    </row>
    <row r="18" spans="1:12" x14ac:dyDescent="0.35">
      <c r="A18" s="8"/>
      <c r="B18" s="26">
        <v>100</v>
      </c>
      <c r="C18" s="7"/>
      <c r="D18" s="7"/>
      <c r="E18" s="7"/>
      <c r="F18" s="7"/>
      <c r="G18" s="9"/>
      <c r="H18" s="7"/>
      <c r="I18" s="34"/>
      <c r="J18" s="34"/>
      <c r="K18" s="7"/>
      <c r="L18" s="8"/>
    </row>
    <row r="19" spans="1:12" x14ac:dyDescent="0.35">
      <c r="A19" s="8"/>
      <c r="B19" s="26">
        <v>100</v>
      </c>
      <c r="C19" s="7"/>
      <c r="D19" s="7"/>
      <c r="E19" s="7"/>
      <c r="F19" s="7"/>
      <c r="G19" s="9"/>
      <c r="H19" s="7"/>
      <c r="I19" s="34"/>
      <c r="J19" s="34"/>
      <c r="K19" s="7"/>
      <c r="L19" s="8"/>
    </row>
    <row r="20" spans="1:12" x14ac:dyDescent="0.35">
      <c r="A20" s="8"/>
      <c r="B20" s="26">
        <v>100</v>
      </c>
      <c r="C20" s="7"/>
      <c r="D20" s="7"/>
      <c r="E20" s="7"/>
      <c r="F20" s="7"/>
      <c r="G20" s="9"/>
      <c r="H20" s="7"/>
      <c r="I20" s="34"/>
      <c r="J20" s="34"/>
      <c r="K20" s="7"/>
      <c r="L2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0A9FB-29E4-45B3-A7F6-BDEB6F51B689}">
  <sheetPr codeName="Sheet29">
    <tabColor rgb="FFC00000"/>
  </sheetPr>
  <dimension ref="A1:R8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36" customWidth="1"/>
    <col min="7" max="8" width="30.625" style="36" customWidth="1"/>
    <col min="9" max="11" width="15.625" style="36" customWidth="1"/>
    <col min="12" max="12" width="30.625" style="36" customWidth="1"/>
    <col min="13" max="14" width="15.625" style="36" customWidth="1"/>
    <col min="15" max="15" width="30.625" style="36" customWidth="1"/>
    <col min="16" max="17" width="15.625" style="36" customWidth="1"/>
    <col min="18" max="18" width="50.625" style="10" customWidth="1"/>
    <col min="19" max="16384" width="10.625" style="10"/>
  </cols>
  <sheetData>
    <row r="1" spans="1:18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40</v>
      </c>
      <c r="G1" s="5" t="s">
        <v>40</v>
      </c>
      <c r="H1" s="5" t="s">
        <v>49</v>
      </c>
      <c r="I1" s="5" t="s">
        <v>38</v>
      </c>
      <c r="J1" s="5" t="s">
        <v>40</v>
      </c>
      <c r="K1" s="5" t="s">
        <v>38</v>
      </c>
      <c r="L1" s="5" t="s">
        <v>2768</v>
      </c>
      <c r="M1" s="5" t="s">
        <v>40</v>
      </c>
      <c r="N1" s="5" t="s">
        <v>38</v>
      </c>
      <c r="O1" s="5" t="s">
        <v>1914</v>
      </c>
      <c r="P1" s="5" t="s">
        <v>38</v>
      </c>
      <c r="Q1" s="5" t="s">
        <v>38</v>
      </c>
      <c r="R1" s="6" t="s">
        <v>74</v>
      </c>
    </row>
    <row r="2" spans="1:18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76</v>
      </c>
      <c r="G2" s="2" t="s">
        <v>159</v>
      </c>
      <c r="H2" s="2" t="s">
        <v>2423</v>
      </c>
      <c r="I2" s="2" t="s">
        <v>2398</v>
      </c>
      <c r="J2" s="2" t="s">
        <v>2403</v>
      </c>
      <c r="K2" s="2" t="s">
        <v>2404</v>
      </c>
      <c r="L2" s="2" t="s">
        <v>3726</v>
      </c>
      <c r="M2" s="2" t="s">
        <v>2405</v>
      </c>
      <c r="N2" s="2" t="s">
        <v>2406</v>
      </c>
      <c r="O2" s="2" t="s">
        <v>2407</v>
      </c>
      <c r="P2" s="2" t="s">
        <v>2408</v>
      </c>
      <c r="Q2" s="2" t="s">
        <v>2340</v>
      </c>
      <c r="R2" s="3" t="s">
        <v>74</v>
      </c>
    </row>
    <row r="3" spans="1:18" x14ac:dyDescent="0.35">
      <c r="A3" s="24" t="s">
        <v>9</v>
      </c>
      <c r="B3" s="25" t="s">
        <v>31</v>
      </c>
      <c r="C3" s="26" t="s">
        <v>2341</v>
      </c>
      <c r="D3" s="26" t="s">
        <v>149</v>
      </c>
      <c r="E3" s="26" t="s">
        <v>2342</v>
      </c>
      <c r="F3" s="26" t="s">
        <v>2343</v>
      </c>
      <c r="G3" s="26" t="s">
        <v>2344</v>
      </c>
      <c r="H3" s="26" t="s">
        <v>2399</v>
      </c>
      <c r="I3" s="26" t="s">
        <v>2400</v>
      </c>
      <c r="J3" s="26" t="s">
        <v>2409</v>
      </c>
      <c r="K3" s="26" t="s">
        <v>2410</v>
      </c>
      <c r="L3" s="26" t="s">
        <v>3724</v>
      </c>
      <c r="M3" s="26" t="s">
        <v>2411</v>
      </c>
      <c r="N3" s="26" t="s">
        <v>2412</v>
      </c>
      <c r="O3" s="26" t="s">
        <v>2413</v>
      </c>
      <c r="P3" s="26" t="s">
        <v>2414</v>
      </c>
      <c r="Q3" s="26" t="s">
        <v>2345</v>
      </c>
      <c r="R3" s="25" t="s">
        <v>80</v>
      </c>
    </row>
    <row r="4" spans="1:18" x14ac:dyDescent="0.35">
      <c r="A4" s="27" t="s">
        <v>104</v>
      </c>
      <c r="B4" s="27"/>
      <c r="C4" s="27" t="s">
        <v>2346</v>
      </c>
      <c r="D4" s="27" t="s">
        <v>2347</v>
      </c>
      <c r="E4" s="27" t="s">
        <v>2415</v>
      </c>
      <c r="F4" s="30" t="s">
        <v>2348</v>
      </c>
      <c r="G4" s="30" t="s">
        <v>2349</v>
      </c>
      <c r="H4" s="30" t="s">
        <v>2401</v>
      </c>
      <c r="I4" s="27" t="s">
        <v>2402</v>
      </c>
      <c r="J4" s="27" t="s">
        <v>2416</v>
      </c>
      <c r="K4" s="27" t="s">
        <v>2417</v>
      </c>
      <c r="L4" s="30"/>
      <c r="M4" s="27" t="s">
        <v>2418</v>
      </c>
      <c r="N4" s="27" t="s">
        <v>2419</v>
      </c>
      <c r="O4" s="30" t="s">
        <v>2420</v>
      </c>
      <c r="P4" s="27" t="s">
        <v>2421</v>
      </c>
      <c r="Q4" s="27" t="s">
        <v>2422</v>
      </c>
      <c r="R4" s="27" t="s">
        <v>128</v>
      </c>
    </row>
    <row r="5" spans="1:18" x14ac:dyDescent="0.35">
      <c r="A5" s="8"/>
      <c r="B5" s="39">
        <v>100</v>
      </c>
      <c r="C5" s="7">
        <v>30300001</v>
      </c>
      <c r="D5" s="7"/>
      <c r="E5" s="7">
        <v>0</v>
      </c>
      <c r="F5" s="32" t="s">
        <v>2424</v>
      </c>
      <c r="G5" s="34" t="s">
        <v>2431</v>
      </c>
      <c r="H5" s="34" t="s">
        <v>2501</v>
      </c>
      <c r="I5" s="7"/>
      <c r="J5" s="7" t="s">
        <v>2397</v>
      </c>
      <c r="K5" s="7">
        <v>5</v>
      </c>
      <c r="L5" s="34"/>
      <c r="M5" s="7"/>
      <c r="N5" s="7"/>
      <c r="O5" s="34"/>
      <c r="P5" s="7"/>
      <c r="Q5" s="7"/>
      <c r="R5" s="8"/>
    </row>
    <row r="6" spans="1:18" x14ac:dyDescent="0.35">
      <c r="A6" s="8"/>
      <c r="B6" s="39">
        <v>100</v>
      </c>
      <c r="C6" s="7">
        <v>30300002</v>
      </c>
      <c r="D6" s="7"/>
      <c r="E6" s="7">
        <v>0</v>
      </c>
      <c r="F6" s="32" t="s">
        <v>2425</v>
      </c>
      <c r="G6" s="34" t="s">
        <v>2432</v>
      </c>
      <c r="H6" s="34" t="s">
        <v>2502</v>
      </c>
      <c r="I6" s="7"/>
      <c r="J6" s="7" t="s">
        <v>2397</v>
      </c>
      <c r="K6" s="7">
        <v>5</v>
      </c>
      <c r="L6" s="34"/>
      <c r="M6" s="7"/>
      <c r="N6" s="7"/>
      <c r="O6" s="34"/>
      <c r="P6" s="7"/>
      <c r="Q6" s="7"/>
      <c r="R6" s="8"/>
    </row>
    <row r="7" spans="1:18" x14ac:dyDescent="0.35">
      <c r="A7" s="8"/>
      <c r="B7" s="39">
        <v>100</v>
      </c>
      <c r="C7" s="7">
        <v>30300003</v>
      </c>
      <c r="D7" s="7"/>
      <c r="E7" s="7">
        <v>0</v>
      </c>
      <c r="F7" s="32" t="s">
        <v>2426</v>
      </c>
      <c r="G7" s="34" t="s">
        <v>2433</v>
      </c>
      <c r="H7" s="34" t="s">
        <v>2503</v>
      </c>
      <c r="I7" s="7"/>
      <c r="J7" s="7" t="s">
        <v>2509</v>
      </c>
      <c r="K7" s="7">
        <v>10</v>
      </c>
      <c r="L7" s="34"/>
      <c r="M7" s="7"/>
      <c r="N7" s="7"/>
      <c r="O7" s="34"/>
      <c r="P7" s="7"/>
      <c r="Q7" s="7"/>
      <c r="R7" s="8"/>
    </row>
    <row r="8" spans="1:18" x14ac:dyDescent="0.35">
      <c r="A8" s="8"/>
      <c r="B8" s="39">
        <v>100</v>
      </c>
      <c r="C8" s="7">
        <v>30300004</v>
      </c>
      <c r="D8" s="7" t="s">
        <v>2429</v>
      </c>
      <c r="E8" s="7">
        <v>0</v>
      </c>
      <c r="F8" s="32" t="s">
        <v>2427</v>
      </c>
      <c r="G8" s="34" t="s">
        <v>2434</v>
      </c>
      <c r="H8" s="34" t="s">
        <v>2504</v>
      </c>
      <c r="I8" s="7"/>
      <c r="J8" s="7" t="s">
        <v>2510</v>
      </c>
      <c r="K8" s="7">
        <v>3</v>
      </c>
      <c r="L8" s="34"/>
      <c r="M8" s="7"/>
      <c r="N8" s="7"/>
      <c r="O8" s="34"/>
      <c r="P8" s="7"/>
      <c r="Q8" s="7"/>
      <c r="R8" s="8"/>
    </row>
    <row r="9" spans="1:18" x14ac:dyDescent="0.35">
      <c r="A9" s="8"/>
      <c r="B9" s="39">
        <v>100</v>
      </c>
      <c r="C9" s="7">
        <v>30300005</v>
      </c>
      <c r="D9" s="7" t="s">
        <v>2430</v>
      </c>
      <c r="E9" s="7">
        <v>0</v>
      </c>
      <c r="F9" s="32" t="s">
        <v>2428</v>
      </c>
      <c r="G9" s="34" t="s">
        <v>2435</v>
      </c>
      <c r="H9" s="34" t="s">
        <v>2505</v>
      </c>
      <c r="I9" s="7"/>
      <c r="J9" s="7" t="s">
        <v>2511</v>
      </c>
      <c r="K9" s="7">
        <v>3</v>
      </c>
      <c r="L9" s="34"/>
      <c r="M9" s="7"/>
      <c r="N9" s="7"/>
      <c r="O9" s="34"/>
      <c r="P9" s="7"/>
      <c r="Q9" s="7"/>
      <c r="R9" s="8"/>
    </row>
    <row r="10" spans="1:18" x14ac:dyDescent="0.35">
      <c r="A10" s="28"/>
      <c r="B10" s="26">
        <v>100</v>
      </c>
      <c r="C10" s="26">
        <v>30301001</v>
      </c>
      <c r="D10" s="26" t="s">
        <v>2361</v>
      </c>
      <c r="E10" s="26">
        <v>1</v>
      </c>
      <c r="F10" s="31" t="s">
        <v>2350</v>
      </c>
      <c r="G10" s="33" t="s">
        <v>2378</v>
      </c>
      <c r="H10" s="33"/>
      <c r="I10" s="26"/>
      <c r="J10" s="26"/>
      <c r="K10" s="26"/>
      <c r="L10" s="33"/>
      <c r="M10" s="7" t="s">
        <v>1437</v>
      </c>
      <c r="N10" s="26">
        <v>3</v>
      </c>
      <c r="O10" s="33" t="s">
        <v>2580</v>
      </c>
      <c r="P10" s="26">
        <v>20</v>
      </c>
      <c r="Q10" s="26">
        <v>10</v>
      </c>
      <c r="R10" s="28"/>
    </row>
    <row r="11" spans="1:18" x14ac:dyDescent="0.35">
      <c r="A11" s="28"/>
      <c r="B11" s="26">
        <v>100</v>
      </c>
      <c r="C11" s="26">
        <v>30301002</v>
      </c>
      <c r="D11" s="26" t="s">
        <v>2519</v>
      </c>
      <c r="E11" s="26">
        <v>1</v>
      </c>
      <c r="F11" s="31" t="s">
        <v>2074</v>
      </c>
      <c r="G11" s="33" t="s">
        <v>2520</v>
      </c>
      <c r="H11" s="33"/>
      <c r="I11" s="26"/>
      <c r="J11" s="26"/>
      <c r="K11" s="26"/>
      <c r="L11" s="33"/>
      <c r="M11" s="7" t="s">
        <v>1437</v>
      </c>
      <c r="N11" s="26">
        <v>2</v>
      </c>
      <c r="O11" s="33" t="s">
        <v>2581</v>
      </c>
      <c r="P11" s="26">
        <v>1</v>
      </c>
      <c r="Q11" s="26"/>
      <c r="R11" s="28"/>
    </row>
    <row r="12" spans="1:18" x14ac:dyDescent="0.35">
      <c r="A12" s="28"/>
      <c r="B12" s="26">
        <v>100</v>
      </c>
      <c r="C12" s="26">
        <v>30302001</v>
      </c>
      <c r="D12" s="26" t="s">
        <v>2364</v>
      </c>
      <c r="E12" s="26">
        <v>2</v>
      </c>
      <c r="F12" s="31" t="s">
        <v>2362</v>
      </c>
      <c r="G12" s="33" t="s">
        <v>2379</v>
      </c>
      <c r="H12" s="33"/>
      <c r="I12" s="26"/>
      <c r="J12" s="26"/>
      <c r="K12" s="26"/>
      <c r="L12" s="33"/>
      <c r="M12" s="26" t="s">
        <v>1438</v>
      </c>
      <c r="N12" s="26">
        <v>4</v>
      </c>
      <c r="O12" s="33" t="s">
        <v>2582</v>
      </c>
      <c r="P12" s="26">
        <v>20</v>
      </c>
      <c r="Q12" s="26"/>
      <c r="R12" s="28"/>
    </row>
    <row r="13" spans="1:18" x14ac:dyDescent="0.35">
      <c r="A13" s="28"/>
      <c r="B13" s="26">
        <v>100</v>
      </c>
      <c r="C13" s="26">
        <v>30302002</v>
      </c>
      <c r="D13" s="26" t="s">
        <v>2365</v>
      </c>
      <c r="E13" s="26">
        <v>2</v>
      </c>
      <c r="F13" s="31" t="s">
        <v>2363</v>
      </c>
      <c r="G13" s="33" t="s">
        <v>2380</v>
      </c>
      <c r="H13" s="33"/>
      <c r="I13" s="26"/>
      <c r="J13" s="26"/>
      <c r="K13" s="26"/>
      <c r="L13" s="33"/>
      <c r="M13" s="26" t="s">
        <v>1438</v>
      </c>
      <c r="N13" s="26">
        <v>4</v>
      </c>
      <c r="O13" s="33" t="s">
        <v>2582</v>
      </c>
      <c r="P13" s="26">
        <v>30</v>
      </c>
      <c r="Q13" s="26"/>
      <c r="R13" s="28"/>
    </row>
    <row r="14" spans="1:18" x14ac:dyDescent="0.35">
      <c r="A14" s="28"/>
      <c r="B14" s="26">
        <v>100</v>
      </c>
      <c r="C14" s="26">
        <v>30303001</v>
      </c>
      <c r="D14" s="26" t="s">
        <v>2366</v>
      </c>
      <c r="E14" s="26">
        <v>3</v>
      </c>
      <c r="F14" s="31" t="s">
        <v>2351</v>
      </c>
      <c r="G14" s="33" t="s">
        <v>2381</v>
      </c>
      <c r="H14" s="33"/>
      <c r="I14" s="26"/>
      <c r="J14" s="26"/>
      <c r="K14" s="26"/>
      <c r="L14" s="33"/>
      <c r="M14" s="26" t="s">
        <v>1439</v>
      </c>
      <c r="N14" s="26">
        <v>5</v>
      </c>
      <c r="O14" s="34" t="s">
        <v>2583</v>
      </c>
      <c r="P14" s="26">
        <v>10</v>
      </c>
      <c r="Q14" s="26"/>
      <c r="R14" s="28"/>
    </row>
    <row r="15" spans="1:18" x14ac:dyDescent="0.35">
      <c r="A15" s="28"/>
      <c r="B15" s="26">
        <v>100</v>
      </c>
      <c r="C15" s="26">
        <v>30303002</v>
      </c>
      <c r="D15" s="26" t="s">
        <v>2384</v>
      </c>
      <c r="E15" s="26">
        <v>3</v>
      </c>
      <c r="F15" s="31" t="s">
        <v>2383</v>
      </c>
      <c r="G15" s="33" t="s">
        <v>2382</v>
      </c>
      <c r="H15" s="33"/>
      <c r="I15" s="26"/>
      <c r="J15" s="26"/>
      <c r="K15" s="26"/>
      <c r="L15" s="33"/>
      <c r="M15" s="26" t="s">
        <v>1439</v>
      </c>
      <c r="N15" s="26">
        <v>5</v>
      </c>
      <c r="O15" s="34" t="s">
        <v>2583</v>
      </c>
      <c r="P15" s="26">
        <v>30</v>
      </c>
      <c r="Q15" s="26"/>
      <c r="R15" s="28"/>
    </row>
    <row r="16" spans="1:18" x14ac:dyDescent="0.35">
      <c r="A16" s="8"/>
      <c r="B16" s="26">
        <v>100</v>
      </c>
      <c r="C16" s="26">
        <v>30303003</v>
      </c>
      <c r="D16" s="7" t="s">
        <v>2367</v>
      </c>
      <c r="E16" s="7">
        <v>3</v>
      </c>
      <c r="F16" s="32" t="s">
        <v>2352</v>
      </c>
      <c r="G16" s="34" t="s">
        <v>2385</v>
      </c>
      <c r="H16" s="34"/>
      <c r="I16" s="7"/>
      <c r="J16" s="7"/>
      <c r="K16" s="7"/>
      <c r="L16" s="34"/>
      <c r="M16" s="26" t="s">
        <v>1439</v>
      </c>
      <c r="N16" s="7">
        <v>5</v>
      </c>
      <c r="O16" s="34" t="s">
        <v>2583</v>
      </c>
      <c r="P16" s="7">
        <v>50</v>
      </c>
      <c r="Q16" s="7"/>
      <c r="R16" s="8"/>
    </row>
    <row r="17" spans="1:18" x14ac:dyDescent="0.35">
      <c r="A17" s="8"/>
      <c r="B17" s="26">
        <v>100</v>
      </c>
      <c r="C17" s="26">
        <v>30303004</v>
      </c>
      <c r="D17" s="7" t="s">
        <v>2368</v>
      </c>
      <c r="E17" s="7">
        <v>3</v>
      </c>
      <c r="F17" s="32" t="s">
        <v>2353</v>
      </c>
      <c r="G17" s="34" t="s">
        <v>2386</v>
      </c>
      <c r="H17" s="34"/>
      <c r="I17" s="7"/>
      <c r="J17" s="7"/>
      <c r="K17" s="7"/>
      <c r="L17" s="34"/>
      <c r="M17" s="26" t="s">
        <v>1439</v>
      </c>
      <c r="N17" s="7">
        <v>6</v>
      </c>
      <c r="O17" s="34" t="s">
        <v>2584</v>
      </c>
      <c r="P17" s="7">
        <v>30</v>
      </c>
      <c r="Q17" s="7"/>
      <c r="R17" s="8"/>
    </row>
    <row r="18" spans="1:18" x14ac:dyDescent="0.35">
      <c r="A18" s="8"/>
      <c r="B18" s="26">
        <v>100</v>
      </c>
      <c r="C18" s="26">
        <v>30303005</v>
      </c>
      <c r="D18" s="7" t="s">
        <v>2369</v>
      </c>
      <c r="E18" s="7">
        <v>3</v>
      </c>
      <c r="F18" s="32" t="s">
        <v>2354</v>
      </c>
      <c r="G18" s="34" t="s">
        <v>2387</v>
      </c>
      <c r="H18" s="34"/>
      <c r="I18" s="7"/>
      <c r="J18" s="7"/>
      <c r="K18" s="7"/>
      <c r="L18" s="34"/>
      <c r="M18" s="26" t="s">
        <v>1439</v>
      </c>
      <c r="N18" s="7">
        <v>6</v>
      </c>
      <c r="O18" s="34" t="s">
        <v>2584</v>
      </c>
      <c r="P18" s="7">
        <v>50</v>
      </c>
      <c r="Q18" s="7"/>
      <c r="R18" s="8"/>
    </row>
    <row r="19" spans="1:18" x14ac:dyDescent="0.35">
      <c r="A19" s="8"/>
      <c r="B19" s="26">
        <v>100</v>
      </c>
      <c r="C19" s="26">
        <v>30303006</v>
      </c>
      <c r="D19" s="7" t="s">
        <v>2370</v>
      </c>
      <c r="E19" s="7">
        <v>3</v>
      </c>
      <c r="F19" s="32" t="s">
        <v>2355</v>
      </c>
      <c r="G19" s="34" t="s">
        <v>2388</v>
      </c>
      <c r="H19" s="34"/>
      <c r="I19" s="7"/>
      <c r="J19" s="7"/>
      <c r="K19" s="7"/>
      <c r="L19" s="34"/>
      <c r="M19" s="26" t="s">
        <v>1439</v>
      </c>
      <c r="N19" s="7">
        <v>5</v>
      </c>
      <c r="O19" s="34" t="s">
        <v>2584</v>
      </c>
      <c r="P19" s="7">
        <v>40</v>
      </c>
      <c r="Q19" s="7"/>
      <c r="R19" s="8"/>
    </row>
    <row r="20" spans="1:18" x14ac:dyDescent="0.35">
      <c r="A20" s="8"/>
      <c r="B20" s="26">
        <v>100</v>
      </c>
      <c r="C20" s="7">
        <v>30304001</v>
      </c>
      <c r="D20" s="7" t="s">
        <v>3731</v>
      </c>
      <c r="E20" s="7">
        <v>4</v>
      </c>
      <c r="F20" s="32" t="s">
        <v>3730</v>
      </c>
      <c r="G20" s="34" t="s">
        <v>2393</v>
      </c>
      <c r="H20" s="34"/>
      <c r="I20" s="7"/>
      <c r="J20" s="7"/>
      <c r="K20" s="7"/>
      <c r="L20" s="34"/>
      <c r="M20" s="7" t="s">
        <v>2517</v>
      </c>
      <c r="N20" s="7">
        <v>5</v>
      </c>
      <c r="O20" s="34" t="s">
        <v>2585</v>
      </c>
      <c r="P20" s="7">
        <v>1</v>
      </c>
      <c r="Q20" s="7"/>
      <c r="R20" s="8"/>
    </row>
    <row r="21" spans="1:18" x14ac:dyDescent="0.35">
      <c r="A21" s="8"/>
      <c r="B21" s="26">
        <v>100</v>
      </c>
      <c r="C21" s="7">
        <v>30304002</v>
      </c>
      <c r="D21" s="7" t="s">
        <v>2376</v>
      </c>
      <c r="E21" s="7">
        <v>4</v>
      </c>
      <c r="F21" s="32" t="s">
        <v>2359</v>
      </c>
      <c r="G21" s="34" t="s">
        <v>2394</v>
      </c>
      <c r="H21" s="34"/>
      <c r="I21" s="7"/>
      <c r="J21" s="7"/>
      <c r="K21" s="7"/>
      <c r="L21" s="34"/>
      <c r="M21" s="7" t="s">
        <v>2517</v>
      </c>
      <c r="N21" s="7">
        <v>5</v>
      </c>
      <c r="O21" s="34" t="s">
        <v>2586</v>
      </c>
      <c r="P21" s="7">
        <v>1</v>
      </c>
      <c r="Q21" s="7"/>
      <c r="R21" s="8"/>
    </row>
    <row r="22" spans="1:18" x14ac:dyDescent="0.35">
      <c r="A22" s="8"/>
      <c r="B22" s="26">
        <v>100</v>
      </c>
      <c r="C22" s="7">
        <v>30305001</v>
      </c>
      <c r="D22" s="7" t="s">
        <v>2371</v>
      </c>
      <c r="E22" s="7">
        <v>5</v>
      </c>
      <c r="F22" s="32" t="s">
        <v>1331</v>
      </c>
      <c r="G22" s="34" t="s">
        <v>2389</v>
      </c>
      <c r="H22" s="34"/>
      <c r="I22" s="7"/>
      <c r="J22" s="7"/>
      <c r="K22" s="7"/>
      <c r="L22" s="34"/>
      <c r="M22" s="7" t="s">
        <v>2518</v>
      </c>
      <c r="N22" s="7">
        <v>3</v>
      </c>
      <c r="O22" s="34" t="s">
        <v>2587</v>
      </c>
      <c r="P22" s="7">
        <v>1</v>
      </c>
      <c r="Q22" s="7"/>
      <c r="R22" s="8"/>
    </row>
    <row r="23" spans="1:18" x14ac:dyDescent="0.35">
      <c r="A23" s="8"/>
      <c r="B23" s="26">
        <v>100</v>
      </c>
      <c r="C23" s="7">
        <v>30305002</v>
      </c>
      <c r="D23" s="7" t="s">
        <v>2372</v>
      </c>
      <c r="E23" s="7">
        <v>5</v>
      </c>
      <c r="F23" s="32" t="s">
        <v>1286</v>
      </c>
      <c r="G23" s="34" t="s">
        <v>2390</v>
      </c>
      <c r="H23" s="34"/>
      <c r="I23" s="7"/>
      <c r="J23" s="7"/>
      <c r="K23" s="7"/>
      <c r="L23" s="34"/>
      <c r="M23" s="7" t="s">
        <v>1437</v>
      </c>
      <c r="N23" s="7">
        <v>3</v>
      </c>
      <c r="O23" s="34" t="s">
        <v>2588</v>
      </c>
      <c r="P23" s="7">
        <v>1</v>
      </c>
      <c r="Q23" s="7"/>
      <c r="R23" s="8"/>
    </row>
    <row r="24" spans="1:18" x14ac:dyDescent="0.35">
      <c r="A24" s="8"/>
      <c r="B24" s="26">
        <v>100</v>
      </c>
      <c r="C24" s="7">
        <v>30305003</v>
      </c>
      <c r="D24" s="7" t="s">
        <v>2373</v>
      </c>
      <c r="E24" s="7">
        <v>5</v>
      </c>
      <c r="F24" s="32" t="s">
        <v>2356</v>
      </c>
      <c r="G24" s="34" t="s">
        <v>2391</v>
      </c>
      <c r="H24" s="34"/>
      <c r="I24" s="7"/>
      <c r="J24" s="7"/>
      <c r="K24" s="7"/>
      <c r="L24" s="34"/>
      <c r="M24" s="7" t="s">
        <v>2516</v>
      </c>
      <c r="N24" s="7">
        <v>5</v>
      </c>
      <c r="O24" s="34" t="s">
        <v>2589</v>
      </c>
      <c r="P24" s="7">
        <v>1</v>
      </c>
      <c r="Q24" s="7"/>
      <c r="R24" s="8"/>
    </row>
    <row r="25" spans="1:18" x14ac:dyDescent="0.35">
      <c r="A25" s="8"/>
      <c r="B25" s="26">
        <v>100</v>
      </c>
      <c r="C25" s="7">
        <v>30305004</v>
      </c>
      <c r="D25" s="7" t="s">
        <v>2374</v>
      </c>
      <c r="E25" s="7">
        <v>5</v>
      </c>
      <c r="F25" s="32" t="s">
        <v>2357</v>
      </c>
      <c r="G25" s="34" t="s">
        <v>2392</v>
      </c>
      <c r="H25" s="34"/>
      <c r="I25" s="7"/>
      <c r="J25" s="7"/>
      <c r="K25" s="7"/>
      <c r="L25" s="34"/>
      <c r="M25" s="7" t="s">
        <v>2516</v>
      </c>
      <c r="N25" s="7">
        <v>5</v>
      </c>
      <c r="O25" s="34" t="s">
        <v>2590</v>
      </c>
      <c r="P25" s="7">
        <v>1</v>
      </c>
      <c r="Q25" s="7"/>
      <c r="R25" s="8"/>
    </row>
    <row r="26" spans="1:18" x14ac:dyDescent="0.35">
      <c r="A26" s="8"/>
      <c r="B26" s="26">
        <v>100</v>
      </c>
      <c r="C26" s="7">
        <v>30305005</v>
      </c>
      <c r="D26" s="7" t="s">
        <v>2375</v>
      </c>
      <c r="E26" s="7">
        <v>5</v>
      </c>
      <c r="F26" s="32" t="s">
        <v>2358</v>
      </c>
      <c r="G26" s="34" t="s">
        <v>2395</v>
      </c>
      <c r="H26" s="34"/>
      <c r="I26" s="7"/>
      <c r="J26" s="7"/>
      <c r="K26" s="7"/>
      <c r="L26" s="34"/>
      <c r="M26" s="7" t="s">
        <v>2516</v>
      </c>
      <c r="N26" s="7">
        <v>5</v>
      </c>
      <c r="O26" s="34" t="s">
        <v>2591</v>
      </c>
      <c r="P26" s="7">
        <v>1</v>
      </c>
      <c r="Q26" s="7"/>
      <c r="R26" s="8"/>
    </row>
    <row r="27" spans="1:18" x14ac:dyDescent="0.35">
      <c r="A27" s="8"/>
      <c r="B27" s="26">
        <v>100</v>
      </c>
      <c r="C27" s="7">
        <v>30309001</v>
      </c>
      <c r="D27" s="7" t="s">
        <v>2377</v>
      </c>
      <c r="E27" s="7">
        <v>9</v>
      </c>
      <c r="F27" s="32" t="s">
        <v>2360</v>
      </c>
      <c r="G27" s="34" t="s">
        <v>2396</v>
      </c>
      <c r="H27" s="34"/>
      <c r="I27" s="7"/>
      <c r="J27" s="7"/>
      <c r="K27" s="7"/>
      <c r="L27" s="34"/>
      <c r="M27" s="7" t="s">
        <v>1433</v>
      </c>
      <c r="N27" s="7">
        <v>2</v>
      </c>
      <c r="O27" s="34" t="s">
        <v>2592</v>
      </c>
      <c r="P27" s="7">
        <v>1</v>
      </c>
      <c r="Q27" s="7"/>
      <c r="R27" s="8"/>
    </row>
    <row r="28" spans="1:18" x14ac:dyDescent="0.35">
      <c r="A28" s="8"/>
      <c r="B28" s="26">
        <v>100</v>
      </c>
      <c r="C28" s="7">
        <v>30309002</v>
      </c>
      <c r="D28" s="7" t="s">
        <v>2507</v>
      </c>
      <c r="E28" s="7">
        <v>9</v>
      </c>
      <c r="F28" s="32" t="s">
        <v>2506</v>
      </c>
      <c r="G28" s="34" t="s">
        <v>2508</v>
      </c>
      <c r="H28" s="34"/>
      <c r="I28" s="7"/>
      <c r="J28" s="7"/>
      <c r="K28" s="7"/>
      <c r="L28" s="34"/>
      <c r="M28" s="7" t="s">
        <v>1433</v>
      </c>
      <c r="N28" s="7">
        <v>2</v>
      </c>
      <c r="O28" s="34" t="s">
        <v>2593</v>
      </c>
      <c r="P28" s="7">
        <v>1</v>
      </c>
      <c r="Q28" s="7"/>
      <c r="R28" s="8"/>
    </row>
    <row r="29" spans="1:18" x14ac:dyDescent="0.35">
      <c r="A29" s="8"/>
      <c r="B29" s="26">
        <v>100</v>
      </c>
      <c r="C29" s="7">
        <v>30311001</v>
      </c>
      <c r="D29" s="7" t="s">
        <v>2523</v>
      </c>
      <c r="E29" s="7">
        <v>11</v>
      </c>
      <c r="F29" s="31" t="s">
        <v>2436</v>
      </c>
      <c r="G29" s="33" t="s">
        <v>2477</v>
      </c>
      <c r="H29" s="33" t="s">
        <v>2439</v>
      </c>
      <c r="I29" s="26">
        <v>90</v>
      </c>
      <c r="J29" s="7"/>
      <c r="K29" s="7"/>
      <c r="L29" s="34"/>
      <c r="M29" s="7"/>
      <c r="N29" s="7"/>
      <c r="O29" s="34"/>
      <c r="P29" s="7"/>
      <c r="Q29" s="7"/>
      <c r="R29" s="8"/>
    </row>
    <row r="30" spans="1:18" x14ac:dyDescent="0.35">
      <c r="A30" s="8"/>
      <c r="B30" s="26">
        <v>100</v>
      </c>
      <c r="C30" s="7">
        <v>30311002</v>
      </c>
      <c r="D30" s="7" t="s">
        <v>2524</v>
      </c>
      <c r="E30" s="7">
        <v>11</v>
      </c>
      <c r="F30" s="37" t="s">
        <v>2437</v>
      </c>
      <c r="G30" s="41" t="s">
        <v>2478</v>
      </c>
      <c r="H30" s="41" t="s">
        <v>2460</v>
      </c>
      <c r="I30" s="39">
        <v>90</v>
      </c>
      <c r="J30" s="7"/>
      <c r="K30" s="7"/>
      <c r="L30" s="34"/>
      <c r="M30" s="7"/>
      <c r="N30" s="7"/>
      <c r="O30" s="34"/>
      <c r="P30" s="7"/>
      <c r="Q30" s="7"/>
      <c r="R30" s="8"/>
    </row>
    <row r="31" spans="1:18" x14ac:dyDescent="0.35">
      <c r="A31" s="8"/>
      <c r="B31" s="26">
        <v>100</v>
      </c>
      <c r="C31" s="7">
        <v>30311003</v>
      </c>
      <c r="D31" s="7" t="s">
        <v>2361</v>
      </c>
      <c r="E31" s="7">
        <v>11</v>
      </c>
      <c r="F31" s="37" t="s">
        <v>2350</v>
      </c>
      <c r="G31" s="41" t="s">
        <v>2479</v>
      </c>
      <c r="H31" s="41" t="s">
        <v>2438</v>
      </c>
      <c r="I31" s="39">
        <v>90</v>
      </c>
      <c r="J31" s="7"/>
      <c r="K31" s="7"/>
      <c r="L31" s="34"/>
      <c r="M31" s="7"/>
      <c r="N31" s="7"/>
      <c r="O31" s="34"/>
      <c r="P31" s="7"/>
      <c r="Q31" s="7"/>
      <c r="R31" s="8"/>
    </row>
    <row r="32" spans="1:18" x14ac:dyDescent="0.35">
      <c r="A32" s="8"/>
      <c r="B32" s="26">
        <v>100</v>
      </c>
      <c r="C32" s="7">
        <v>30311004</v>
      </c>
      <c r="D32" s="7" t="s">
        <v>2525</v>
      </c>
      <c r="E32" s="7">
        <v>11</v>
      </c>
      <c r="F32" s="31" t="s">
        <v>2521</v>
      </c>
      <c r="G32" s="33" t="s">
        <v>2480</v>
      </c>
      <c r="H32" s="33" t="s">
        <v>2459</v>
      </c>
      <c r="I32" s="26">
        <v>100</v>
      </c>
      <c r="J32" s="7"/>
      <c r="K32" s="7"/>
      <c r="L32" s="34"/>
      <c r="M32" s="7"/>
      <c r="N32" s="7"/>
      <c r="O32" s="34"/>
      <c r="P32" s="7"/>
      <c r="Q32" s="7"/>
      <c r="R32" s="8"/>
    </row>
    <row r="33" spans="1:18" x14ac:dyDescent="0.35">
      <c r="A33" s="8"/>
      <c r="B33" s="26">
        <v>100</v>
      </c>
      <c r="C33" s="7">
        <v>30311005</v>
      </c>
      <c r="D33" s="7" t="s">
        <v>2526</v>
      </c>
      <c r="E33" s="7">
        <v>11</v>
      </c>
      <c r="F33" s="37" t="s">
        <v>2522</v>
      </c>
      <c r="G33" s="41" t="s">
        <v>2481</v>
      </c>
      <c r="H33" s="33" t="s">
        <v>2462</v>
      </c>
      <c r="I33" s="39">
        <v>100</v>
      </c>
      <c r="J33" s="7"/>
      <c r="K33" s="7"/>
      <c r="L33" s="34"/>
      <c r="M33" s="7"/>
      <c r="N33" s="7"/>
      <c r="O33" s="34"/>
      <c r="P33" s="7"/>
      <c r="Q33" s="7"/>
      <c r="R33" s="8"/>
    </row>
    <row r="34" spans="1:18" x14ac:dyDescent="0.35">
      <c r="A34" s="8"/>
      <c r="B34" s="26">
        <v>100</v>
      </c>
      <c r="C34" s="7">
        <v>30312001</v>
      </c>
      <c r="D34" s="7" t="s">
        <v>2527</v>
      </c>
      <c r="E34" s="7">
        <v>12</v>
      </c>
      <c r="F34" s="37" t="s">
        <v>2442</v>
      </c>
      <c r="G34" s="41" t="s">
        <v>2482</v>
      </c>
      <c r="H34" s="41" t="s">
        <v>2463</v>
      </c>
      <c r="I34" s="39">
        <v>120</v>
      </c>
      <c r="J34" s="7"/>
      <c r="K34" s="7"/>
      <c r="L34" s="34"/>
      <c r="M34" s="7"/>
      <c r="N34" s="7"/>
      <c r="O34" s="34"/>
      <c r="P34" s="7"/>
      <c r="Q34" s="7"/>
      <c r="R34" s="8"/>
    </row>
    <row r="35" spans="1:18" x14ac:dyDescent="0.35">
      <c r="A35" s="8"/>
      <c r="B35" s="26">
        <v>100</v>
      </c>
      <c r="C35" s="7">
        <v>30312002</v>
      </c>
      <c r="D35" s="7" t="s">
        <v>2528</v>
      </c>
      <c r="E35" s="7">
        <v>12</v>
      </c>
      <c r="F35" s="37" t="s">
        <v>2443</v>
      </c>
      <c r="G35" s="41" t="s">
        <v>2483</v>
      </c>
      <c r="H35" s="41" t="s">
        <v>2464</v>
      </c>
      <c r="I35" s="39">
        <v>120</v>
      </c>
      <c r="J35" s="7"/>
      <c r="K35" s="7"/>
      <c r="L35" s="34"/>
      <c r="M35" s="7"/>
      <c r="N35" s="7"/>
      <c r="O35" s="34"/>
      <c r="P35" s="7"/>
      <c r="Q35" s="7"/>
      <c r="R35" s="8"/>
    </row>
    <row r="36" spans="1:18" x14ac:dyDescent="0.35">
      <c r="A36" s="8"/>
      <c r="B36" s="26">
        <v>100</v>
      </c>
      <c r="C36" s="7">
        <v>30312003</v>
      </c>
      <c r="D36" s="7" t="s">
        <v>2529</v>
      </c>
      <c r="E36" s="7">
        <v>12</v>
      </c>
      <c r="F36" s="37" t="s">
        <v>2440</v>
      </c>
      <c r="G36" s="41" t="s">
        <v>2484</v>
      </c>
      <c r="H36" s="41" t="s">
        <v>2465</v>
      </c>
      <c r="I36" s="39">
        <v>150</v>
      </c>
      <c r="J36" s="7"/>
      <c r="K36" s="7"/>
      <c r="L36" s="34"/>
      <c r="M36" s="7"/>
      <c r="N36" s="7"/>
      <c r="O36" s="34"/>
      <c r="P36" s="7"/>
      <c r="Q36" s="7"/>
      <c r="R36" s="8"/>
    </row>
    <row r="37" spans="1:18" x14ac:dyDescent="0.35">
      <c r="A37" s="8"/>
      <c r="B37" s="26">
        <v>100</v>
      </c>
      <c r="C37" s="7">
        <v>30312004</v>
      </c>
      <c r="D37" s="7" t="s">
        <v>2530</v>
      </c>
      <c r="E37" s="7">
        <v>12</v>
      </c>
      <c r="F37" s="37" t="s">
        <v>2441</v>
      </c>
      <c r="G37" s="41" t="s">
        <v>2485</v>
      </c>
      <c r="H37" s="41" t="s">
        <v>2466</v>
      </c>
      <c r="I37" s="39">
        <v>150</v>
      </c>
      <c r="J37" s="7"/>
      <c r="K37" s="7"/>
      <c r="L37" s="34"/>
      <c r="M37" s="7"/>
      <c r="N37" s="7"/>
      <c r="O37" s="34"/>
      <c r="P37" s="7"/>
      <c r="Q37" s="7"/>
      <c r="R37" s="8"/>
    </row>
    <row r="38" spans="1:18" x14ac:dyDescent="0.35">
      <c r="A38" s="8"/>
      <c r="B38" s="26">
        <v>100</v>
      </c>
      <c r="C38" s="7">
        <v>30313001</v>
      </c>
      <c r="D38" s="7" t="s">
        <v>2531</v>
      </c>
      <c r="E38" s="7">
        <v>13</v>
      </c>
      <c r="F38" s="37" t="s">
        <v>2444</v>
      </c>
      <c r="G38" s="41" t="s">
        <v>2486</v>
      </c>
      <c r="H38" s="41" t="s">
        <v>2467</v>
      </c>
      <c r="I38" s="39">
        <v>0</v>
      </c>
      <c r="J38" s="7" t="s">
        <v>2509</v>
      </c>
      <c r="K38" s="7">
        <v>10</v>
      </c>
      <c r="L38" s="34"/>
      <c r="M38" s="7"/>
      <c r="N38" s="7"/>
      <c r="O38" s="34"/>
      <c r="P38" s="7"/>
      <c r="Q38" s="7"/>
      <c r="R38" s="8"/>
    </row>
    <row r="39" spans="1:18" x14ac:dyDescent="0.35">
      <c r="A39" s="8"/>
      <c r="B39" s="26">
        <v>100</v>
      </c>
      <c r="C39" s="7">
        <v>30313002</v>
      </c>
      <c r="D39" s="7" t="s">
        <v>2531</v>
      </c>
      <c r="E39" s="7">
        <v>13</v>
      </c>
      <c r="F39" s="37" t="s">
        <v>2444</v>
      </c>
      <c r="G39" s="41" t="s">
        <v>2486</v>
      </c>
      <c r="H39" s="41" t="s">
        <v>2468</v>
      </c>
      <c r="I39" s="39">
        <v>0</v>
      </c>
      <c r="J39" s="7" t="s">
        <v>2509</v>
      </c>
      <c r="K39" s="7">
        <v>10</v>
      </c>
      <c r="L39" s="34"/>
      <c r="M39" s="7"/>
      <c r="N39" s="7"/>
      <c r="O39" s="34"/>
      <c r="P39" s="7"/>
      <c r="Q39" s="7"/>
      <c r="R39" s="8"/>
    </row>
    <row r="40" spans="1:18" x14ac:dyDescent="0.35">
      <c r="A40" s="8"/>
      <c r="B40" s="26">
        <v>100</v>
      </c>
      <c r="C40" s="7">
        <v>30315001</v>
      </c>
      <c r="D40" s="7" t="s">
        <v>2532</v>
      </c>
      <c r="E40" s="7">
        <v>15</v>
      </c>
      <c r="F40" s="37" t="s">
        <v>2445</v>
      </c>
      <c r="G40" s="41" t="s">
        <v>2487</v>
      </c>
      <c r="H40" s="41" t="s">
        <v>2469</v>
      </c>
      <c r="I40" s="39">
        <v>40</v>
      </c>
      <c r="J40" s="7" t="s">
        <v>2512</v>
      </c>
      <c r="K40" s="7">
        <v>3</v>
      </c>
      <c r="L40" s="34" t="s">
        <v>3749</v>
      </c>
      <c r="M40" s="7"/>
      <c r="N40" s="7"/>
      <c r="O40" s="34"/>
      <c r="P40" s="7"/>
      <c r="Q40" s="7"/>
      <c r="R40" s="8"/>
    </row>
    <row r="41" spans="1:18" x14ac:dyDescent="0.35">
      <c r="A41" s="8"/>
      <c r="B41" s="26">
        <v>100</v>
      </c>
      <c r="C41" s="7">
        <v>30315002</v>
      </c>
      <c r="D41" s="7" t="s">
        <v>2533</v>
      </c>
      <c r="E41" s="7">
        <v>15</v>
      </c>
      <c r="F41" s="37" t="s">
        <v>2446</v>
      </c>
      <c r="G41" s="41" t="s">
        <v>2488</v>
      </c>
      <c r="H41" s="41" t="s">
        <v>2461</v>
      </c>
      <c r="I41" s="39">
        <v>40</v>
      </c>
      <c r="J41" s="7" t="s">
        <v>2513</v>
      </c>
      <c r="K41" s="7">
        <v>3</v>
      </c>
      <c r="L41" s="34" t="s">
        <v>3749</v>
      </c>
      <c r="M41" s="7"/>
      <c r="N41" s="7"/>
      <c r="O41" s="34"/>
      <c r="P41" s="7"/>
      <c r="Q41" s="7"/>
      <c r="R41" s="8"/>
    </row>
    <row r="42" spans="1:18" x14ac:dyDescent="0.35">
      <c r="A42" s="8"/>
      <c r="B42" s="26">
        <v>100</v>
      </c>
      <c r="C42" s="7">
        <v>30315003</v>
      </c>
      <c r="D42" s="7" t="s">
        <v>2534</v>
      </c>
      <c r="E42" s="7">
        <v>15</v>
      </c>
      <c r="F42" s="37" t="s">
        <v>2447</v>
      </c>
      <c r="G42" s="41" t="s">
        <v>2489</v>
      </c>
      <c r="H42" s="41" t="s">
        <v>2471</v>
      </c>
      <c r="I42" s="39">
        <v>40</v>
      </c>
      <c r="J42" s="7" t="s">
        <v>2512</v>
      </c>
      <c r="K42" s="7">
        <v>3</v>
      </c>
      <c r="L42" s="34" t="s">
        <v>3749</v>
      </c>
      <c r="M42" s="7"/>
      <c r="N42" s="7"/>
      <c r="O42" s="34"/>
      <c r="P42" s="7"/>
      <c r="Q42" s="7"/>
      <c r="R42" s="8"/>
    </row>
    <row r="43" spans="1:18" x14ac:dyDescent="0.35">
      <c r="A43" s="8"/>
      <c r="B43" s="26">
        <v>100</v>
      </c>
      <c r="C43" s="7">
        <v>30315004</v>
      </c>
      <c r="D43" s="7" t="s">
        <v>2535</v>
      </c>
      <c r="E43" s="7">
        <v>15</v>
      </c>
      <c r="F43" s="37" t="s">
        <v>2448</v>
      </c>
      <c r="G43" s="41" t="s">
        <v>2490</v>
      </c>
      <c r="H43" s="41">
        <v>30305001</v>
      </c>
      <c r="I43" s="39">
        <v>40</v>
      </c>
      <c r="J43" s="7" t="s">
        <v>2514</v>
      </c>
      <c r="K43" s="7">
        <v>3</v>
      </c>
      <c r="L43" s="34" t="s">
        <v>3749</v>
      </c>
      <c r="M43" s="7"/>
      <c r="N43" s="7"/>
      <c r="O43" s="34"/>
      <c r="P43" s="7"/>
      <c r="Q43" s="7"/>
      <c r="R43" s="8"/>
    </row>
    <row r="44" spans="1:18" x14ac:dyDescent="0.35">
      <c r="A44" s="8"/>
      <c r="B44" s="26">
        <v>100</v>
      </c>
      <c r="C44" s="7">
        <v>30315005</v>
      </c>
      <c r="D44" s="7" t="s">
        <v>2536</v>
      </c>
      <c r="E44" s="7">
        <v>15</v>
      </c>
      <c r="F44" s="37" t="s">
        <v>2449</v>
      </c>
      <c r="G44" s="41" t="s">
        <v>2491</v>
      </c>
      <c r="H44" s="41" t="s">
        <v>2472</v>
      </c>
      <c r="I44" s="39">
        <v>40</v>
      </c>
      <c r="J44" s="7" t="s">
        <v>2512</v>
      </c>
      <c r="K44" s="7">
        <v>3</v>
      </c>
      <c r="L44" s="34" t="s">
        <v>3749</v>
      </c>
      <c r="M44" s="7"/>
      <c r="N44" s="7"/>
      <c r="O44" s="34"/>
      <c r="P44" s="7"/>
      <c r="Q44" s="7"/>
      <c r="R44" s="8"/>
    </row>
    <row r="45" spans="1:18" x14ac:dyDescent="0.35">
      <c r="A45" s="8"/>
      <c r="B45" s="26">
        <v>100</v>
      </c>
      <c r="C45" s="7">
        <v>30315006</v>
      </c>
      <c r="D45" s="7" t="s">
        <v>2537</v>
      </c>
      <c r="E45" s="7">
        <v>15</v>
      </c>
      <c r="F45" s="37" t="s">
        <v>2450</v>
      </c>
      <c r="G45" s="41" t="s">
        <v>2492</v>
      </c>
      <c r="H45" s="41" t="s">
        <v>2473</v>
      </c>
      <c r="I45" s="39">
        <v>40</v>
      </c>
      <c r="J45" s="7" t="s">
        <v>2513</v>
      </c>
      <c r="K45" s="7">
        <v>3</v>
      </c>
      <c r="L45" s="34" t="s">
        <v>3749</v>
      </c>
      <c r="M45" s="7"/>
      <c r="N45" s="7"/>
      <c r="O45" s="34"/>
      <c r="P45" s="7"/>
      <c r="Q45" s="7"/>
      <c r="R45" s="8"/>
    </row>
    <row r="46" spans="1:18" x14ac:dyDescent="0.35">
      <c r="A46" s="8"/>
      <c r="B46" s="26">
        <v>100</v>
      </c>
      <c r="C46" s="7">
        <v>30315007</v>
      </c>
      <c r="D46" s="7" t="s">
        <v>2538</v>
      </c>
      <c r="E46" s="7">
        <v>15</v>
      </c>
      <c r="F46" s="37" t="s">
        <v>2451</v>
      </c>
      <c r="G46" s="41" t="s">
        <v>2493</v>
      </c>
      <c r="H46" s="41" t="s">
        <v>2474</v>
      </c>
      <c r="I46" s="39">
        <v>40</v>
      </c>
      <c r="J46" s="7" t="s">
        <v>2512</v>
      </c>
      <c r="K46" s="7">
        <v>3</v>
      </c>
      <c r="L46" s="34" t="s">
        <v>3749</v>
      </c>
      <c r="M46" s="7"/>
      <c r="N46" s="7"/>
      <c r="O46" s="34"/>
      <c r="P46" s="7"/>
      <c r="Q46" s="7"/>
      <c r="R46" s="8"/>
    </row>
    <row r="47" spans="1:18" x14ac:dyDescent="0.35">
      <c r="A47" s="8"/>
      <c r="B47" s="26">
        <v>100</v>
      </c>
      <c r="C47" s="7">
        <v>30315008</v>
      </c>
      <c r="D47" s="7" t="s">
        <v>2539</v>
      </c>
      <c r="E47" s="7">
        <v>15</v>
      </c>
      <c r="F47" s="37" t="s">
        <v>2452</v>
      </c>
      <c r="G47" s="41" t="s">
        <v>2494</v>
      </c>
      <c r="H47" s="41">
        <v>30305002</v>
      </c>
      <c r="I47" s="39">
        <v>40</v>
      </c>
      <c r="J47" s="7" t="s">
        <v>2514</v>
      </c>
      <c r="K47" s="7">
        <v>3</v>
      </c>
      <c r="L47" s="34" t="s">
        <v>3749</v>
      </c>
      <c r="M47" s="7"/>
      <c r="N47" s="7"/>
      <c r="O47" s="34"/>
      <c r="P47" s="7"/>
      <c r="Q47" s="7"/>
      <c r="R47" s="8"/>
    </row>
    <row r="48" spans="1:18" x14ac:dyDescent="0.35">
      <c r="A48" s="8"/>
      <c r="B48" s="26">
        <v>100</v>
      </c>
      <c r="C48" s="7">
        <v>30315009</v>
      </c>
      <c r="D48" s="7" t="s">
        <v>2540</v>
      </c>
      <c r="E48" s="7">
        <v>15</v>
      </c>
      <c r="F48" s="37" t="s">
        <v>2453</v>
      </c>
      <c r="G48" s="41" t="s">
        <v>2495</v>
      </c>
      <c r="H48" s="41" t="s">
        <v>2475</v>
      </c>
      <c r="I48" s="39">
        <v>60</v>
      </c>
      <c r="J48" s="7" t="s">
        <v>2515</v>
      </c>
      <c r="K48" s="7">
        <v>5</v>
      </c>
      <c r="L48" s="34" t="s">
        <v>3750</v>
      </c>
      <c r="M48" s="7"/>
      <c r="N48" s="7"/>
      <c r="O48" s="34"/>
      <c r="P48" s="7"/>
      <c r="Q48" s="7"/>
      <c r="R48" s="8"/>
    </row>
    <row r="49" spans="1:18" x14ac:dyDescent="0.35">
      <c r="A49" s="8"/>
      <c r="B49" s="26">
        <v>100</v>
      </c>
      <c r="C49" s="7">
        <v>30315010</v>
      </c>
      <c r="D49" s="7" t="s">
        <v>2524</v>
      </c>
      <c r="E49" s="7">
        <v>15</v>
      </c>
      <c r="F49" s="37" t="s">
        <v>2454</v>
      </c>
      <c r="G49" s="41" t="s">
        <v>2496</v>
      </c>
      <c r="H49" s="41">
        <v>30305003</v>
      </c>
      <c r="I49" s="39">
        <v>60</v>
      </c>
      <c r="J49" s="7" t="s">
        <v>2515</v>
      </c>
      <c r="K49" s="7">
        <v>5</v>
      </c>
      <c r="L49" s="34" t="s">
        <v>3750</v>
      </c>
      <c r="M49" s="7"/>
      <c r="N49" s="7"/>
      <c r="O49" s="34"/>
      <c r="P49" s="7"/>
      <c r="Q49" s="7"/>
      <c r="R49" s="8"/>
    </row>
    <row r="50" spans="1:18" x14ac:dyDescent="0.35">
      <c r="A50" s="8"/>
      <c r="B50" s="26">
        <v>100</v>
      </c>
      <c r="C50" s="7">
        <v>30315011</v>
      </c>
      <c r="D50" s="7" t="s">
        <v>2541</v>
      </c>
      <c r="E50" s="7">
        <v>15</v>
      </c>
      <c r="F50" s="37" t="s">
        <v>2455</v>
      </c>
      <c r="G50" s="41" t="s">
        <v>2497</v>
      </c>
      <c r="H50" s="41" t="s">
        <v>2470</v>
      </c>
      <c r="I50" s="39">
        <v>90</v>
      </c>
      <c r="J50" s="7" t="s">
        <v>2515</v>
      </c>
      <c r="K50" s="7">
        <v>5</v>
      </c>
      <c r="L50" s="34" t="s">
        <v>3751</v>
      </c>
      <c r="M50" s="7"/>
      <c r="N50" s="7"/>
      <c r="O50" s="34"/>
      <c r="P50" s="7"/>
      <c r="Q50" s="7"/>
      <c r="R50" s="8"/>
    </row>
    <row r="51" spans="1:18" x14ac:dyDescent="0.35">
      <c r="A51" s="8"/>
      <c r="B51" s="26">
        <v>100</v>
      </c>
      <c r="C51" s="7">
        <v>30315012</v>
      </c>
      <c r="D51" s="7" t="s">
        <v>2542</v>
      </c>
      <c r="E51" s="7">
        <v>15</v>
      </c>
      <c r="F51" s="37" t="s">
        <v>2456</v>
      </c>
      <c r="G51" s="41" t="s">
        <v>2498</v>
      </c>
      <c r="H51" s="41">
        <v>30305004</v>
      </c>
      <c r="I51" s="39">
        <v>90</v>
      </c>
      <c r="J51" s="7" t="s">
        <v>2515</v>
      </c>
      <c r="K51" s="7">
        <v>5</v>
      </c>
      <c r="L51" s="34" t="s">
        <v>3751</v>
      </c>
      <c r="M51" s="7"/>
      <c r="N51" s="7"/>
      <c r="O51" s="34"/>
      <c r="P51" s="7"/>
      <c r="Q51" s="7"/>
      <c r="R51" s="8"/>
    </row>
    <row r="52" spans="1:18" x14ac:dyDescent="0.35">
      <c r="A52" s="8"/>
      <c r="B52" s="26">
        <v>100</v>
      </c>
      <c r="C52" s="7">
        <v>30315013</v>
      </c>
      <c r="D52" s="7" t="s">
        <v>2543</v>
      </c>
      <c r="E52" s="7">
        <v>15</v>
      </c>
      <c r="F52" s="37" t="s">
        <v>2457</v>
      </c>
      <c r="G52" s="41" t="s">
        <v>2499</v>
      </c>
      <c r="H52" s="41" t="s">
        <v>2476</v>
      </c>
      <c r="I52" s="39">
        <v>90</v>
      </c>
      <c r="J52" s="7" t="s">
        <v>2515</v>
      </c>
      <c r="K52" s="7">
        <v>5</v>
      </c>
      <c r="L52" s="34" t="s">
        <v>3751</v>
      </c>
      <c r="M52" s="7"/>
      <c r="N52" s="7"/>
      <c r="O52" s="34"/>
      <c r="P52" s="7"/>
      <c r="Q52" s="7"/>
      <c r="R52" s="8"/>
    </row>
    <row r="53" spans="1:18" x14ac:dyDescent="0.35">
      <c r="A53" s="8"/>
      <c r="B53" s="26">
        <v>100</v>
      </c>
      <c r="C53" s="7">
        <v>30315014</v>
      </c>
      <c r="D53" s="7" t="s">
        <v>2544</v>
      </c>
      <c r="E53" s="7">
        <v>15</v>
      </c>
      <c r="F53" s="37" t="s">
        <v>2458</v>
      </c>
      <c r="G53" s="41" t="s">
        <v>2500</v>
      </c>
      <c r="H53" s="41">
        <v>30305005</v>
      </c>
      <c r="I53" s="39">
        <v>90</v>
      </c>
      <c r="J53" s="7" t="s">
        <v>2515</v>
      </c>
      <c r="K53" s="7">
        <v>5</v>
      </c>
      <c r="L53" s="34" t="s">
        <v>3751</v>
      </c>
      <c r="M53" s="7"/>
      <c r="N53" s="7"/>
      <c r="O53" s="34"/>
      <c r="P53" s="7"/>
      <c r="Q53" s="7"/>
      <c r="R53" s="8"/>
    </row>
    <row r="54" spans="1:18" x14ac:dyDescent="0.35">
      <c r="A54" s="8"/>
      <c r="B54" s="26">
        <v>100</v>
      </c>
      <c r="C54" s="7"/>
      <c r="D54" s="7"/>
      <c r="E54" s="7"/>
      <c r="F54" s="37"/>
      <c r="G54" s="41"/>
      <c r="H54" s="41"/>
      <c r="I54" s="39"/>
      <c r="J54" s="7"/>
      <c r="K54" s="7"/>
      <c r="L54" s="34"/>
      <c r="M54" s="7"/>
      <c r="N54" s="7"/>
      <c r="O54" s="34"/>
      <c r="P54" s="7"/>
      <c r="Q54" s="7"/>
      <c r="R54" s="8"/>
    </row>
    <row r="55" spans="1:18" x14ac:dyDescent="0.35">
      <c r="A55" s="8"/>
      <c r="B55" s="26">
        <v>100</v>
      </c>
      <c r="C55" s="7"/>
      <c r="D55" s="7"/>
      <c r="E55" s="7"/>
      <c r="F55" s="37"/>
      <c r="G55" s="41"/>
      <c r="H55" s="41"/>
      <c r="I55" s="39"/>
      <c r="J55" s="7"/>
      <c r="K55" s="7"/>
      <c r="L55" s="34"/>
      <c r="M55" s="7"/>
      <c r="N55" s="7"/>
      <c r="O55" s="34"/>
      <c r="P55" s="7"/>
      <c r="Q55" s="7"/>
      <c r="R55" s="8"/>
    </row>
    <row r="56" spans="1:18" x14ac:dyDescent="0.35">
      <c r="A56" s="8"/>
      <c r="B56" s="26">
        <v>100</v>
      </c>
      <c r="C56" s="7"/>
      <c r="D56" s="7"/>
      <c r="E56" s="7"/>
      <c r="F56" s="37"/>
      <c r="G56" s="41"/>
      <c r="H56" s="41"/>
      <c r="I56" s="39"/>
      <c r="J56" s="7"/>
      <c r="K56" s="7"/>
      <c r="L56" s="34"/>
      <c r="M56" s="7"/>
      <c r="N56" s="7"/>
      <c r="O56" s="34"/>
      <c r="P56" s="7"/>
      <c r="Q56" s="7"/>
      <c r="R56" s="8"/>
    </row>
    <row r="57" spans="1:18" x14ac:dyDescent="0.35">
      <c r="A57" s="8"/>
      <c r="B57" s="26">
        <v>100</v>
      </c>
      <c r="C57" s="7"/>
      <c r="D57" s="7"/>
      <c r="E57" s="7"/>
      <c r="F57" s="37"/>
      <c r="G57" s="41"/>
      <c r="H57" s="41"/>
      <c r="I57" s="39"/>
      <c r="J57" s="7"/>
      <c r="K57" s="7"/>
      <c r="L57" s="34"/>
      <c r="M57" s="7"/>
      <c r="N57" s="7"/>
      <c r="O57" s="34"/>
      <c r="P57" s="7"/>
      <c r="Q57" s="7"/>
      <c r="R57" s="8"/>
    </row>
    <row r="58" spans="1:18" x14ac:dyDescent="0.35">
      <c r="A58" s="8"/>
      <c r="B58" s="26">
        <v>100</v>
      </c>
      <c r="C58" s="7"/>
      <c r="D58" s="7"/>
      <c r="E58" s="7"/>
      <c r="F58" s="37"/>
      <c r="G58" s="41"/>
      <c r="H58" s="41"/>
      <c r="I58" s="39"/>
      <c r="J58" s="7"/>
      <c r="K58" s="7"/>
      <c r="L58" s="34"/>
      <c r="M58" s="7"/>
      <c r="N58" s="7"/>
      <c r="O58" s="34"/>
      <c r="P58" s="7"/>
      <c r="Q58" s="7"/>
      <c r="R58" s="8"/>
    </row>
    <row r="59" spans="1:18" x14ac:dyDescent="0.35">
      <c r="A59" s="8"/>
      <c r="B59" s="26">
        <v>100</v>
      </c>
      <c r="C59" s="7"/>
      <c r="D59" s="7"/>
      <c r="E59" s="7"/>
      <c r="F59" s="37"/>
      <c r="G59" s="41"/>
      <c r="H59" s="41"/>
      <c r="I59" s="39"/>
      <c r="J59" s="7"/>
      <c r="K59" s="7"/>
      <c r="L59" s="34"/>
      <c r="M59" s="7"/>
      <c r="N59" s="7"/>
      <c r="O59" s="34"/>
      <c r="P59" s="7"/>
      <c r="Q59" s="7"/>
      <c r="R59" s="8"/>
    </row>
    <row r="60" spans="1:18" x14ac:dyDescent="0.35">
      <c r="A60" s="8"/>
      <c r="B60" s="26">
        <v>100</v>
      </c>
      <c r="C60" s="7"/>
      <c r="D60" s="7"/>
      <c r="E60" s="7"/>
      <c r="F60" s="37"/>
      <c r="G60" s="41"/>
      <c r="H60" s="41"/>
      <c r="I60" s="39"/>
      <c r="J60" s="7"/>
      <c r="K60" s="7"/>
      <c r="L60" s="34"/>
      <c r="M60" s="7"/>
      <c r="N60" s="7"/>
      <c r="O60" s="34"/>
      <c r="P60" s="7"/>
      <c r="Q60" s="7"/>
      <c r="R60" s="8"/>
    </row>
    <row r="61" spans="1:18" x14ac:dyDescent="0.35">
      <c r="A61" s="8"/>
      <c r="B61" s="26">
        <v>100</v>
      </c>
      <c r="C61" s="7"/>
      <c r="D61" s="7"/>
      <c r="E61" s="7"/>
      <c r="F61" s="37"/>
      <c r="G61" s="41"/>
      <c r="H61" s="41"/>
      <c r="I61" s="39"/>
      <c r="J61" s="7"/>
      <c r="K61" s="7"/>
      <c r="L61" s="34"/>
      <c r="M61" s="7"/>
      <c r="N61" s="7"/>
      <c r="O61" s="34"/>
      <c r="P61" s="7"/>
      <c r="Q61" s="7"/>
      <c r="R61" s="8"/>
    </row>
    <row r="62" spans="1:18" x14ac:dyDescent="0.35">
      <c r="A62" s="8" t="s">
        <v>104</v>
      </c>
      <c r="B62" s="26">
        <v>100</v>
      </c>
      <c r="C62" s="7">
        <v>30305003</v>
      </c>
      <c r="D62" s="7" t="s">
        <v>3470</v>
      </c>
      <c r="E62" s="7">
        <v>5</v>
      </c>
      <c r="F62" s="37" t="s">
        <v>3467</v>
      </c>
      <c r="G62" s="41" t="s">
        <v>3446</v>
      </c>
      <c r="H62" s="41"/>
      <c r="I62" s="39"/>
      <c r="J62" s="7"/>
      <c r="K62" s="7"/>
      <c r="L62" s="34"/>
      <c r="M62" s="7" t="s">
        <v>2596</v>
      </c>
      <c r="N62" s="7">
        <v>2</v>
      </c>
      <c r="O62" s="34" t="s">
        <v>2589</v>
      </c>
      <c r="P62" s="7">
        <v>2</v>
      </c>
      <c r="Q62" s="7"/>
      <c r="R62" s="8"/>
    </row>
    <row r="63" spans="1:18" x14ac:dyDescent="0.35">
      <c r="A63" s="8" t="s">
        <v>104</v>
      </c>
      <c r="B63" s="26">
        <v>100</v>
      </c>
      <c r="C63" s="7">
        <v>30305004</v>
      </c>
      <c r="D63" s="7" t="s">
        <v>3471</v>
      </c>
      <c r="E63" s="7">
        <v>5</v>
      </c>
      <c r="F63" s="37" t="s">
        <v>3468</v>
      </c>
      <c r="G63" s="41" t="s">
        <v>3456</v>
      </c>
      <c r="H63" s="41"/>
      <c r="I63" s="39"/>
      <c r="J63" s="7"/>
      <c r="K63" s="7"/>
      <c r="L63" s="34"/>
      <c r="M63" s="7" t="s">
        <v>2596</v>
      </c>
      <c r="N63" s="7">
        <v>2</v>
      </c>
      <c r="O63" s="34" t="s">
        <v>2590</v>
      </c>
      <c r="P63" s="7">
        <v>8</v>
      </c>
      <c r="Q63" s="7"/>
      <c r="R63" s="8"/>
    </row>
    <row r="64" spans="1:18" x14ac:dyDescent="0.35">
      <c r="A64" s="8" t="s">
        <v>104</v>
      </c>
      <c r="B64" s="39">
        <v>100</v>
      </c>
      <c r="C64" s="7">
        <v>30305005</v>
      </c>
      <c r="D64" s="7" t="s">
        <v>3472</v>
      </c>
      <c r="E64" s="7">
        <v>5</v>
      </c>
      <c r="F64" s="37" t="s">
        <v>3469</v>
      </c>
      <c r="G64" s="41" t="s">
        <v>3466</v>
      </c>
      <c r="H64" s="41"/>
      <c r="I64" s="39"/>
      <c r="J64" s="7"/>
      <c r="K64" s="7"/>
      <c r="L64" s="34"/>
      <c r="M64" s="7" t="s">
        <v>2596</v>
      </c>
      <c r="N64" s="7">
        <v>2</v>
      </c>
      <c r="O64" s="34" t="s">
        <v>2591</v>
      </c>
      <c r="P64" s="7">
        <v>5</v>
      </c>
      <c r="Q64" s="7"/>
      <c r="R64" s="8"/>
    </row>
    <row r="65" spans="1:18" x14ac:dyDescent="0.35">
      <c r="A65" s="8" t="s">
        <v>104</v>
      </c>
      <c r="B65" s="7">
        <v>100</v>
      </c>
      <c r="C65" s="7">
        <v>30315009</v>
      </c>
      <c r="D65" s="7" t="s">
        <v>3438</v>
      </c>
      <c r="E65" s="7">
        <v>15</v>
      </c>
      <c r="F65" s="32" t="s">
        <v>3439</v>
      </c>
      <c r="G65" s="34" t="s">
        <v>3440</v>
      </c>
      <c r="H65" s="34" t="s">
        <v>2475</v>
      </c>
      <c r="I65" s="7">
        <v>300</v>
      </c>
      <c r="J65" s="7" t="s">
        <v>2602</v>
      </c>
      <c r="K65" s="7">
        <v>30</v>
      </c>
      <c r="L65" s="34"/>
      <c r="M65" s="7"/>
      <c r="N65" s="7"/>
      <c r="O65" s="34"/>
      <c r="P65" s="7"/>
      <c r="Q65" s="7"/>
      <c r="R65" s="8"/>
    </row>
    <row r="66" spans="1:18" x14ac:dyDescent="0.35">
      <c r="A66" s="8" t="s">
        <v>104</v>
      </c>
      <c r="B66" s="7">
        <v>100</v>
      </c>
      <c r="C66" s="7">
        <v>30315010</v>
      </c>
      <c r="D66" s="7" t="s">
        <v>3441</v>
      </c>
      <c r="E66" s="7">
        <v>15</v>
      </c>
      <c r="F66" s="32" t="s">
        <v>3442</v>
      </c>
      <c r="G66" s="34" t="s">
        <v>3443</v>
      </c>
      <c r="H66" s="34" t="s">
        <v>3444</v>
      </c>
      <c r="I66" s="7">
        <v>300</v>
      </c>
      <c r="J66" s="7" t="s">
        <v>2602</v>
      </c>
      <c r="K66" s="7">
        <v>30</v>
      </c>
      <c r="L66" s="34"/>
      <c r="M66" s="7"/>
      <c r="N66" s="7"/>
      <c r="O66" s="34"/>
      <c r="P66" s="7"/>
      <c r="Q66" s="7"/>
      <c r="R66" s="8"/>
    </row>
    <row r="67" spans="1:18" x14ac:dyDescent="0.35">
      <c r="A67" s="8" t="s">
        <v>104</v>
      </c>
      <c r="B67" s="7">
        <v>100</v>
      </c>
      <c r="C67" s="7">
        <v>30315011</v>
      </c>
      <c r="D67" s="7" t="s">
        <v>3445</v>
      </c>
      <c r="E67" s="7">
        <v>15</v>
      </c>
      <c r="F67" s="32" t="s">
        <v>2549</v>
      </c>
      <c r="G67" s="34" t="s">
        <v>3446</v>
      </c>
      <c r="H67" s="34">
        <v>30305003</v>
      </c>
      <c r="I67" s="7">
        <v>0</v>
      </c>
      <c r="J67" s="7" t="s">
        <v>3447</v>
      </c>
      <c r="K67" s="7">
        <v>3</v>
      </c>
      <c r="L67" s="34"/>
      <c r="M67" s="7"/>
      <c r="N67" s="7"/>
      <c r="O67" s="34"/>
      <c r="P67" s="7"/>
      <c r="Q67" s="7"/>
      <c r="R67" s="8"/>
    </row>
    <row r="68" spans="1:18" x14ac:dyDescent="0.35">
      <c r="A68" s="8" t="s">
        <v>104</v>
      </c>
      <c r="B68" s="7">
        <v>100</v>
      </c>
      <c r="C68" s="7">
        <v>30315012</v>
      </c>
      <c r="D68" s="7" t="s">
        <v>3448</v>
      </c>
      <c r="E68" s="7">
        <v>15</v>
      </c>
      <c r="F68" s="32" t="s">
        <v>3449</v>
      </c>
      <c r="G68" s="34" t="s">
        <v>3450</v>
      </c>
      <c r="H68" s="34" t="s">
        <v>3451</v>
      </c>
      <c r="I68" s="7">
        <v>300</v>
      </c>
      <c r="J68" s="7" t="s">
        <v>2602</v>
      </c>
      <c r="K68" s="7">
        <v>30</v>
      </c>
      <c r="L68" s="34"/>
      <c r="M68" s="7"/>
      <c r="N68" s="7"/>
      <c r="O68" s="34"/>
      <c r="P68" s="7"/>
      <c r="Q68" s="7"/>
      <c r="R68" s="8"/>
    </row>
    <row r="69" spans="1:18" x14ac:dyDescent="0.35">
      <c r="A69" s="8" t="s">
        <v>104</v>
      </c>
      <c r="B69" s="7">
        <v>100</v>
      </c>
      <c r="C69" s="7">
        <v>30315013</v>
      </c>
      <c r="D69" s="7" t="s">
        <v>3452</v>
      </c>
      <c r="E69" s="7">
        <v>15</v>
      </c>
      <c r="F69" s="32" t="s">
        <v>3453</v>
      </c>
      <c r="G69" s="34" t="s">
        <v>3454</v>
      </c>
      <c r="H69" s="34" t="s">
        <v>2476</v>
      </c>
      <c r="I69" s="7">
        <v>300</v>
      </c>
      <c r="J69" s="7" t="s">
        <v>2602</v>
      </c>
      <c r="K69" s="7">
        <v>30</v>
      </c>
      <c r="L69" s="34"/>
      <c r="M69" s="7"/>
      <c r="N69" s="7"/>
      <c r="O69" s="34"/>
      <c r="P69" s="7"/>
      <c r="Q69" s="7"/>
      <c r="R69" s="8"/>
    </row>
    <row r="70" spans="1:18" x14ac:dyDescent="0.35">
      <c r="A70" s="8" t="s">
        <v>104</v>
      </c>
      <c r="B70" s="7">
        <v>100</v>
      </c>
      <c r="C70" s="7">
        <v>30315014</v>
      </c>
      <c r="D70" s="7" t="s">
        <v>3455</v>
      </c>
      <c r="E70" s="7">
        <v>15</v>
      </c>
      <c r="F70" s="32" t="s">
        <v>730</v>
      </c>
      <c r="G70" s="34" t="s">
        <v>3456</v>
      </c>
      <c r="H70" s="34">
        <v>30305004</v>
      </c>
      <c r="I70" s="7">
        <v>0</v>
      </c>
      <c r="J70" s="7" t="s">
        <v>3447</v>
      </c>
      <c r="K70" s="7">
        <v>3</v>
      </c>
      <c r="L70" s="34"/>
      <c r="M70" s="7"/>
      <c r="N70" s="7"/>
      <c r="O70" s="34"/>
      <c r="P70" s="7"/>
      <c r="Q70" s="7"/>
      <c r="R70" s="8"/>
    </row>
    <row r="71" spans="1:18" x14ac:dyDescent="0.35">
      <c r="A71" s="8" t="s">
        <v>104</v>
      </c>
      <c r="B71" s="7">
        <v>100</v>
      </c>
      <c r="C71" s="7">
        <v>30315015</v>
      </c>
      <c r="D71" s="7" t="s">
        <v>3457</v>
      </c>
      <c r="E71" s="7">
        <v>15</v>
      </c>
      <c r="F71" s="32" t="s">
        <v>3458</v>
      </c>
      <c r="G71" s="34" t="s">
        <v>3459</v>
      </c>
      <c r="H71" s="34" t="s">
        <v>3460</v>
      </c>
      <c r="I71" s="7">
        <v>300</v>
      </c>
      <c r="J71" s="7" t="s">
        <v>2602</v>
      </c>
      <c r="K71" s="7">
        <v>30</v>
      </c>
      <c r="L71" s="34"/>
      <c r="M71" s="7"/>
      <c r="N71" s="7"/>
      <c r="O71" s="34"/>
      <c r="P71" s="7"/>
      <c r="Q71" s="7"/>
      <c r="R71" s="8"/>
    </row>
    <row r="72" spans="1:18" x14ac:dyDescent="0.35">
      <c r="A72" s="8" t="s">
        <v>104</v>
      </c>
      <c r="B72" s="7">
        <v>100</v>
      </c>
      <c r="C72" s="7">
        <v>30315016</v>
      </c>
      <c r="D72" s="7" t="s">
        <v>3461</v>
      </c>
      <c r="E72" s="7">
        <v>15</v>
      </c>
      <c r="F72" s="32" t="s">
        <v>3462</v>
      </c>
      <c r="G72" s="34" t="s">
        <v>3463</v>
      </c>
      <c r="H72" s="34" t="s">
        <v>3464</v>
      </c>
      <c r="I72" s="7">
        <v>300</v>
      </c>
      <c r="J72" s="7" t="s">
        <v>2602</v>
      </c>
      <c r="K72" s="7">
        <v>30</v>
      </c>
      <c r="L72" s="34"/>
      <c r="M72" s="7"/>
      <c r="N72" s="7"/>
      <c r="O72" s="34"/>
      <c r="P72" s="7"/>
      <c r="Q72" s="7"/>
      <c r="R72" s="8"/>
    </row>
    <row r="73" spans="1:18" x14ac:dyDescent="0.35">
      <c r="A73" s="8" t="s">
        <v>104</v>
      </c>
      <c r="B73" s="7">
        <v>100</v>
      </c>
      <c r="C73" s="7">
        <v>30315017</v>
      </c>
      <c r="D73" s="7" t="s">
        <v>3465</v>
      </c>
      <c r="E73" s="7">
        <v>15</v>
      </c>
      <c r="F73" s="32" t="s">
        <v>623</v>
      </c>
      <c r="G73" s="34" t="s">
        <v>3466</v>
      </c>
      <c r="H73" s="34">
        <v>30305005</v>
      </c>
      <c r="I73" s="7">
        <v>0</v>
      </c>
      <c r="J73" s="7" t="s">
        <v>3447</v>
      </c>
      <c r="K73" s="7">
        <v>3</v>
      </c>
      <c r="L73" s="34"/>
      <c r="M73" s="7"/>
      <c r="N73" s="7"/>
      <c r="O73" s="34"/>
      <c r="P73" s="7"/>
      <c r="Q73" s="7"/>
      <c r="R73" s="8"/>
    </row>
    <row r="74" spans="1:18" x14ac:dyDescent="0.35">
      <c r="A74" s="8"/>
      <c r="B74" s="7">
        <v>100</v>
      </c>
      <c r="C74" s="7"/>
      <c r="D74" s="7"/>
      <c r="E74" s="7"/>
      <c r="F74" s="32"/>
      <c r="G74" s="34"/>
      <c r="H74" s="34"/>
      <c r="I74" s="7"/>
      <c r="J74" s="7"/>
      <c r="K74" s="7"/>
      <c r="L74" s="34"/>
      <c r="M74" s="7"/>
      <c r="N74" s="7"/>
      <c r="O74" s="34"/>
      <c r="P74" s="7"/>
      <c r="Q74" s="7"/>
      <c r="R74" s="8"/>
    </row>
    <row r="75" spans="1:18" x14ac:dyDescent="0.35">
      <c r="A75" s="8"/>
      <c r="B75" s="7">
        <v>100</v>
      </c>
      <c r="C75" s="7"/>
      <c r="D75" s="7"/>
      <c r="E75" s="7"/>
      <c r="F75" s="32"/>
      <c r="G75" s="34"/>
      <c r="H75" s="34"/>
      <c r="I75" s="7"/>
      <c r="J75" s="7"/>
      <c r="K75" s="7"/>
      <c r="L75" s="34"/>
      <c r="M75" s="7"/>
      <c r="N75" s="7"/>
      <c r="O75" s="34"/>
      <c r="P75" s="7"/>
      <c r="Q75" s="7"/>
      <c r="R75" s="8"/>
    </row>
    <row r="76" spans="1:18" x14ac:dyDescent="0.35">
      <c r="A76" s="8"/>
      <c r="B76" s="7">
        <v>100</v>
      </c>
      <c r="C76" s="7"/>
      <c r="D76" s="7"/>
      <c r="E76" s="7"/>
      <c r="F76" s="32"/>
      <c r="G76" s="34"/>
      <c r="H76" s="34"/>
      <c r="I76" s="7"/>
      <c r="J76" s="7"/>
      <c r="K76" s="7"/>
      <c r="L76" s="34"/>
      <c r="M76" s="7"/>
      <c r="N76" s="7"/>
      <c r="O76" s="34"/>
      <c r="P76" s="7"/>
      <c r="Q76" s="7"/>
      <c r="R76" s="8"/>
    </row>
    <row r="77" spans="1:18" x14ac:dyDescent="0.35">
      <c r="A77" s="8"/>
      <c r="B77" s="7">
        <v>100</v>
      </c>
      <c r="C77" s="7"/>
      <c r="D77" s="7"/>
      <c r="E77" s="7"/>
      <c r="F77" s="32"/>
      <c r="G77" s="34"/>
      <c r="H77" s="34"/>
      <c r="I77" s="7"/>
      <c r="J77" s="7"/>
      <c r="K77" s="7"/>
      <c r="L77" s="34"/>
      <c r="M77" s="7"/>
      <c r="N77" s="7"/>
      <c r="O77" s="34"/>
      <c r="P77" s="7"/>
      <c r="Q77" s="7"/>
      <c r="R77" s="8"/>
    </row>
    <row r="78" spans="1:18" x14ac:dyDescent="0.35">
      <c r="A78" s="8"/>
      <c r="B78" s="7">
        <v>100</v>
      </c>
      <c r="C78" s="7"/>
      <c r="D78" s="7"/>
      <c r="E78" s="7"/>
      <c r="F78" s="32"/>
      <c r="G78" s="34"/>
      <c r="H78" s="34"/>
      <c r="I78" s="7"/>
      <c r="J78" s="7"/>
      <c r="K78" s="7"/>
      <c r="L78" s="34"/>
      <c r="M78" s="7"/>
      <c r="N78" s="7"/>
      <c r="O78" s="34"/>
      <c r="P78" s="7"/>
      <c r="Q78" s="7"/>
      <c r="R78" s="8"/>
    </row>
    <row r="79" spans="1:18" x14ac:dyDescent="0.35">
      <c r="A79" s="8"/>
      <c r="B79" s="7">
        <v>100</v>
      </c>
      <c r="C79" s="7"/>
      <c r="D79" s="7"/>
      <c r="E79" s="7"/>
      <c r="F79" s="32"/>
      <c r="G79" s="34"/>
      <c r="H79" s="34"/>
      <c r="I79" s="7"/>
      <c r="J79" s="7"/>
      <c r="K79" s="7"/>
      <c r="L79" s="34"/>
      <c r="M79" s="7"/>
      <c r="N79" s="7"/>
      <c r="O79" s="34"/>
      <c r="P79" s="7"/>
      <c r="Q79" s="7"/>
      <c r="R79" s="8"/>
    </row>
    <row r="80" spans="1:18" x14ac:dyDescent="0.35">
      <c r="A80" s="8"/>
      <c r="B80" s="7">
        <v>100</v>
      </c>
      <c r="C80" s="7"/>
      <c r="D80" s="7"/>
      <c r="E80" s="7"/>
      <c r="F80" s="32"/>
      <c r="G80" s="34"/>
      <c r="H80" s="34"/>
      <c r="I80" s="7"/>
      <c r="J80" s="7"/>
      <c r="K80" s="7"/>
      <c r="L80" s="34"/>
      <c r="M80" s="7"/>
      <c r="N80" s="7"/>
      <c r="O80" s="34"/>
      <c r="P80" s="7"/>
      <c r="Q80" s="7"/>
      <c r="R8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9A5BC-16F1-4F70-8792-1646140A6A20}">
  <sheetPr codeName="Sheet26">
    <tabColor rgb="FFC00000"/>
  </sheetPr>
  <dimension ref="A1:Z54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7" width="15.625" style="10" customWidth="1"/>
    <col min="8" max="13" width="30.625" style="10" customWidth="1"/>
    <col min="14" max="14" width="15.625" style="10" customWidth="1"/>
    <col min="15" max="15" width="35.625" style="10" customWidth="1"/>
    <col min="16" max="25" width="30.625" style="10" customWidth="1"/>
    <col min="26" max="26" width="50.625" style="10" customWidth="1"/>
    <col min="27" max="16384" width="10.625" style="10"/>
  </cols>
  <sheetData>
    <row r="1" spans="1:26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42" t="s">
        <v>38</v>
      </c>
      <c r="G1" s="42" t="s">
        <v>40</v>
      </c>
      <c r="H1" s="42" t="s">
        <v>40</v>
      </c>
      <c r="I1" s="42" t="s">
        <v>1601</v>
      </c>
      <c r="J1" s="42" t="s">
        <v>1602</v>
      </c>
      <c r="K1" s="42" t="s">
        <v>2279</v>
      </c>
      <c r="L1" s="42" t="s">
        <v>1603</v>
      </c>
      <c r="M1" s="42" t="s">
        <v>49</v>
      </c>
      <c r="N1" s="42" t="s">
        <v>38</v>
      </c>
      <c r="O1" s="42" t="s">
        <v>2290</v>
      </c>
      <c r="P1" s="42" t="s">
        <v>1937</v>
      </c>
      <c r="Q1" s="42" t="s">
        <v>1938</v>
      </c>
      <c r="R1" s="42" t="s">
        <v>52</v>
      </c>
      <c r="S1" s="42" t="s">
        <v>49</v>
      </c>
      <c r="T1" s="42" t="s">
        <v>49</v>
      </c>
      <c r="U1" s="42" t="s">
        <v>52</v>
      </c>
      <c r="V1" s="42" t="s">
        <v>1939</v>
      </c>
      <c r="W1" s="42" t="s">
        <v>1604</v>
      </c>
      <c r="X1" s="42" t="s">
        <v>49</v>
      </c>
      <c r="Y1" s="42" t="s">
        <v>49</v>
      </c>
      <c r="Z1" s="6" t="s">
        <v>74</v>
      </c>
    </row>
    <row r="2" spans="1:26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43" t="s">
        <v>1256</v>
      </c>
      <c r="G2" s="43" t="s">
        <v>76</v>
      </c>
      <c r="H2" s="43" t="s">
        <v>159</v>
      </c>
      <c r="I2" s="43" t="s">
        <v>1605</v>
      </c>
      <c r="J2" s="43" t="s">
        <v>1606</v>
      </c>
      <c r="K2" s="43" t="s">
        <v>1607</v>
      </c>
      <c r="L2" s="43" t="s">
        <v>3725</v>
      </c>
      <c r="M2" s="43" t="s">
        <v>3081</v>
      </c>
      <c r="N2" s="43" t="s">
        <v>2750</v>
      </c>
      <c r="O2" s="43" t="s">
        <v>1608</v>
      </c>
      <c r="P2" s="43" t="s">
        <v>1940</v>
      </c>
      <c r="Q2" s="43" t="s">
        <v>1941</v>
      </c>
      <c r="R2" s="43" t="s">
        <v>1609</v>
      </c>
      <c r="S2" s="43" t="s">
        <v>1610</v>
      </c>
      <c r="T2" s="43" t="s">
        <v>1942</v>
      </c>
      <c r="U2" s="43" t="s">
        <v>266</v>
      </c>
      <c r="V2" s="43" t="s">
        <v>1943</v>
      </c>
      <c r="W2" s="43" t="s">
        <v>1611</v>
      </c>
      <c r="X2" s="43" t="s">
        <v>1612</v>
      </c>
      <c r="Y2" s="43" t="s">
        <v>1597</v>
      </c>
      <c r="Z2" s="3" t="s">
        <v>74</v>
      </c>
    </row>
    <row r="3" spans="1:26" x14ac:dyDescent="0.35">
      <c r="A3" s="24" t="s">
        <v>9</v>
      </c>
      <c r="B3" s="25" t="s">
        <v>31</v>
      </c>
      <c r="C3" s="26" t="s">
        <v>1613</v>
      </c>
      <c r="D3" s="26" t="s">
        <v>149</v>
      </c>
      <c r="E3" s="26" t="s">
        <v>1614</v>
      </c>
      <c r="F3" s="26" t="s">
        <v>1615</v>
      </c>
      <c r="G3" s="26" t="s">
        <v>1616</v>
      </c>
      <c r="H3" s="26" t="s">
        <v>1617</v>
      </c>
      <c r="I3" s="26" t="s">
        <v>1618</v>
      </c>
      <c r="J3" s="26" t="s">
        <v>1619</v>
      </c>
      <c r="K3" s="26" t="s">
        <v>2277</v>
      </c>
      <c r="L3" s="26" t="s">
        <v>2276</v>
      </c>
      <c r="M3" s="26" t="s">
        <v>1944</v>
      </c>
      <c r="N3" s="26" t="s">
        <v>2751</v>
      </c>
      <c r="O3" s="26" t="s">
        <v>1620</v>
      </c>
      <c r="P3" s="26" t="s">
        <v>1945</v>
      </c>
      <c r="Q3" s="26" t="s">
        <v>1946</v>
      </c>
      <c r="R3" s="26" t="s">
        <v>1621</v>
      </c>
      <c r="S3" s="26" t="s">
        <v>1622</v>
      </c>
      <c r="T3" s="26" t="s">
        <v>1956</v>
      </c>
      <c r="U3" s="26" t="s">
        <v>1947</v>
      </c>
      <c r="V3" s="26" t="s">
        <v>1948</v>
      </c>
      <c r="W3" s="26" t="s">
        <v>1624</v>
      </c>
      <c r="X3" s="26" t="s">
        <v>1625</v>
      </c>
      <c r="Y3" s="26" t="s">
        <v>1599</v>
      </c>
      <c r="Z3" s="25" t="s">
        <v>80</v>
      </c>
    </row>
    <row r="4" spans="1:26" x14ac:dyDescent="0.35">
      <c r="A4" s="27" t="s">
        <v>104</v>
      </c>
      <c r="B4" s="27"/>
      <c r="C4" s="27" t="s">
        <v>1626</v>
      </c>
      <c r="D4" s="27" t="s">
        <v>1627</v>
      </c>
      <c r="E4" s="27" t="s">
        <v>3339</v>
      </c>
      <c r="F4" s="27" t="s">
        <v>1949</v>
      </c>
      <c r="G4" s="27" t="s">
        <v>1628</v>
      </c>
      <c r="H4" s="27" t="s">
        <v>1629</v>
      </c>
      <c r="I4" s="30" t="s">
        <v>1630</v>
      </c>
      <c r="J4" s="30" t="s">
        <v>1631</v>
      </c>
      <c r="K4" s="30" t="s">
        <v>2280</v>
      </c>
      <c r="L4" s="30" t="s">
        <v>2278</v>
      </c>
      <c r="M4" s="30" t="s">
        <v>1950</v>
      </c>
      <c r="N4" s="44" t="s">
        <v>2752</v>
      </c>
      <c r="O4" s="30" t="s">
        <v>3328</v>
      </c>
      <c r="P4" s="30" t="s">
        <v>1951</v>
      </c>
      <c r="Q4" s="30" t="s">
        <v>2304</v>
      </c>
      <c r="R4" s="30" t="s">
        <v>1952</v>
      </c>
      <c r="S4" s="30" t="s">
        <v>1632</v>
      </c>
      <c r="T4" s="30" t="s">
        <v>1953</v>
      </c>
      <c r="U4" s="30" t="s">
        <v>1954</v>
      </c>
      <c r="V4" s="30" t="s">
        <v>1955</v>
      </c>
      <c r="W4" s="30" t="s">
        <v>1633</v>
      </c>
      <c r="X4" s="30" t="s">
        <v>1634</v>
      </c>
      <c r="Y4" s="30" t="s">
        <v>1635</v>
      </c>
      <c r="Z4" s="27" t="s">
        <v>128</v>
      </c>
    </row>
    <row r="5" spans="1:26" x14ac:dyDescent="0.35">
      <c r="A5" s="28" t="s">
        <v>104</v>
      </c>
      <c r="B5" s="26">
        <v>100</v>
      </c>
      <c r="C5" s="26">
        <v>31100001</v>
      </c>
      <c r="D5" s="26" t="s">
        <v>1641</v>
      </c>
      <c r="E5" s="26">
        <v>0</v>
      </c>
      <c r="F5" s="26">
        <v>0</v>
      </c>
      <c r="G5" s="26" t="s">
        <v>1636</v>
      </c>
      <c r="H5" s="29" t="s">
        <v>2204</v>
      </c>
      <c r="I5" s="33"/>
      <c r="J5" s="33"/>
      <c r="K5" s="33" t="s">
        <v>2281</v>
      </c>
      <c r="L5" s="33" t="s">
        <v>2244</v>
      </c>
      <c r="M5" s="33" t="s">
        <v>2191</v>
      </c>
      <c r="N5" s="45"/>
      <c r="O5" s="33" t="s">
        <v>2138</v>
      </c>
      <c r="P5" s="33"/>
      <c r="Q5" s="33"/>
      <c r="R5" s="33"/>
      <c r="S5" s="33"/>
      <c r="T5" s="33"/>
      <c r="U5" s="33"/>
      <c r="V5" s="33"/>
      <c r="W5" s="33"/>
      <c r="X5" s="33"/>
      <c r="Y5" s="33"/>
      <c r="Z5" s="28"/>
    </row>
    <row r="6" spans="1:26" x14ac:dyDescent="0.35">
      <c r="A6" s="28" t="s">
        <v>104</v>
      </c>
      <c r="B6" s="26">
        <v>100</v>
      </c>
      <c r="C6" s="26">
        <v>31100002</v>
      </c>
      <c r="D6" s="26" t="s">
        <v>2139</v>
      </c>
      <c r="E6" s="26">
        <v>0</v>
      </c>
      <c r="F6" s="26">
        <v>0</v>
      </c>
      <c r="G6" s="26" t="s">
        <v>2140</v>
      </c>
      <c r="H6" s="29" t="s">
        <v>2205</v>
      </c>
      <c r="I6" s="33"/>
      <c r="J6" s="33" t="s">
        <v>2236</v>
      </c>
      <c r="K6" s="33" t="s">
        <v>2282</v>
      </c>
      <c r="L6" s="33" t="s">
        <v>2245</v>
      </c>
      <c r="M6" s="33" t="s">
        <v>2192</v>
      </c>
      <c r="N6" s="45"/>
      <c r="O6" s="33" t="s">
        <v>2178</v>
      </c>
      <c r="P6" s="33"/>
      <c r="Q6" s="33"/>
      <c r="R6" s="33"/>
      <c r="S6" s="33"/>
      <c r="T6" s="33"/>
      <c r="U6" s="33"/>
      <c r="V6" s="33"/>
      <c r="W6" s="33"/>
      <c r="X6" s="33"/>
      <c r="Y6" s="33"/>
      <c r="Z6" s="28"/>
    </row>
    <row r="7" spans="1:26" x14ac:dyDescent="0.35">
      <c r="A7" s="38" t="s">
        <v>104</v>
      </c>
      <c r="B7" s="26">
        <v>100</v>
      </c>
      <c r="C7" s="26">
        <v>31100003</v>
      </c>
      <c r="D7" s="26" t="s">
        <v>1642</v>
      </c>
      <c r="E7" s="26">
        <v>0</v>
      </c>
      <c r="F7" s="26">
        <v>0</v>
      </c>
      <c r="G7" s="26" t="s">
        <v>1637</v>
      </c>
      <c r="H7" s="40" t="s">
        <v>2206</v>
      </c>
      <c r="I7" s="41"/>
      <c r="J7" s="41"/>
      <c r="K7" s="33" t="s">
        <v>2281</v>
      </c>
      <c r="L7" s="41" t="s">
        <v>2244</v>
      </c>
      <c r="M7" s="41" t="s">
        <v>2191</v>
      </c>
      <c r="N7" s="47"/>
      <c r="O7" s="41" t="s">
        <v>2179</v>
      </c>
      <c r="P7" s="41"/>
      <c r="Q7" s="41"/>
      <c r="R7" s="41"/>
      <c r="S7" s="41"/>
      <c r="T7" s="41"/>
      <c r="U7" s="41">
        <v>12030102</v>
      </c>
      <c r="V7" s="41"/>
      <c r="W7" s="41"/>
      <c r="X7" s="41"/>
      <c r="Y7" s="41"/>
      <c r="Z7" s="38"/>
    </row>
    <row r="8" spans="1:26" x14ac:dyDescent="0.35">
      <c r="A8" s="38" t="s">
        <v>104</v>
      </c>
      <c r="B8" s="26">
        <v>100</v>
      </c>
      <c r="C8" s="26">
        <v>31100004</v>
      </c>
      <c r="D8" s="39" t="s">
        <v>2177</v>
      </c>
      <c r="E8" s="39">
        <v>0</v>
      </c>
      <c r="F8" s="39">
        <v>0</v>
      </c>
      <c r="G8" s="39" t="s">
        <v>2176</v>
      </c>
      <c r="H8" s="40" t="s">
        <v>2207</v>
      </c>
      <c r="I8" s="41"/>
      <c r="J8" s="41" t="s">
        <v>2237</v>
      </c>
      <c r="K8" s="33" t="s">
        <v>2282</v>
      </c>
      <c r="L8" s="41" t="s">
        <v>2245</v>
      </c>
      <c r="M8" s="41" t="s">
        <v>2192</v>
      </c>
      <c r="N8" s="47"/>
      <c r="O8" s="41" t="s">
        <v>2180</v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38"/>
    </row>
    <row r="9" spans="1:26" x14ac:dyDescent="0.35">
      <c r="A9" s="28"/>
      <c r="B9" s="26">
        <v>100</v>
      </c>
      <c r="C9" s="26">
        <v>31101001</v>
      </c>
      <c r="D9" s="26" t="s">
        <v>2724</v>
      </c>
      <c r="E9" s="26">
        <v>1</v>
      </c>
      <c r="F9" s="26">
        <v>0</v>
      </c>
      <c r="G9" s="26" t="s">
        <v>1638</v>
      </c>
      <c r="H9" s="29" t="s">
        <v>2208</v>
      </c>
      <c r="I9" s="33" t="s">
        <v>2199</v>
      </c>
      <c r="J9" s="33"/>
      <c r="K9" s="33" t="s">
        <v>2283</v>
      </c>
      <c r="L9" s="33" t="s">
        <v>2246</v>
      </c>
      <c r="M9" s="33" t="s">
        <v>2193</v>
      </c>
      <c r="N9" s="45">
        <v>2</v>
      </c>
      <c r="O9" s="33" t="s">
        <v>3788</v>
      </c>
      <c r="P9" s="34" t="s">
        <v>2261</v>
      </c>
      <c r="Q9" s="33" t="s">
        <v>2716</v>
      </c>
      <c r="R9" s="33" t="s">
        <v>2262</v>
      </c>
      <c r="S9" s="33" t="s">
        <v>2269</v>
      </c>
      <c r="T9" s="33" t="s">
        <v>2297</v>
      </c>
      <c r="U9" s="33">
        <v>12030103</v>
      </c>
      <c r="V9" s="33" t="s">
        <v>3153</v>
      </c>
      <c r="W9" s="33" t="s">
        <v>2301</v>
      </c>
      <c r="X9" s="33" t="s">
        <v>2302</v>
      </c>
      <c r="Y9" s="33" t="s">
        <v>3167</v>
      </c>
      <c r="Z9" s="28" t="s">
        <v>3208</v>
      </c>
    </row>
    <row r="10" spans="1:26" x14ac:dyDescent="0.35">
      <c r="A10" s="8"/>
      <c r="B10" s="26">
        <v>100</v>
      </c>
      <c r="C10" s="7">
        <v>31102001</v>
      </c>
      <c r="D10" s="26" t="s">
        <v>1644</v>
      </c>
      <c r="E10" s="26">
        <v>2</v>
      </c>
      <c r="F10" s="26">
        <v>1</v>
      </c>
      <c r="G10" s="26" t="s">
        <v>3777</v>
      </c>
      <c r="H10" s="9" t="s">
        <v>2223</v>
      </c>
      <c r="I10" s="34" t="s">
        <v>2203</v>
      </c>
      <c r="J10" s="33" t="s">
        <v>2238</v>
      </c>
      <c r="K10" s="34" t="s">
        <v>2288</v>
      </c>
      <c r="L10" s="34" t="s">
        <v>2256</v>
      </c>
      <c r="M10" s="34" t="s">
        <v>2196</v>
      </c>
      <c r="N10" s="46">
        <v>1</v>
      </c>
      <c r="O10" s="34" t="s">
        <v>3326</v>
      </c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8"/>
    </row>
    <row r="11" spans="1:26" x14ac:dyDescent="0.35">
      <c r="A11" s="28"/>
      <c r="B11" s="26">
        <v>100</v>
      </c>
      <c r="C11" s="26">
        <v>31102002</v>
      </c>
      <c r="D11" s="26" t="s">
        <v>1643</v>
      </c>
      <c r="E11" s="26">
        <v>2</v>
      </c>
      <c r="F11" s="26">
        <v>1</v>
      </c>
      <c r="G11" s="26" t="s">
        <v>3775</v>
      </c>
      <c r="H11" s="29" t="s">
        <v>3753</v>
      </c>
      <c r="I11" s="33" t="s">
        <v>2200</v>
      </c>
      <c r="J11" s="33" t="s">
        <v>3782</v>
      </c>
      <c r="K11" s="33" t="s">
        <v>2284</v>
      </c>
      <c r="L11" s="33" t="s">
        <v>2247</v>
      </c>
      <c r="M11" s="33" t="s">
        <v>2194</v>
      </c>
      <c r="N11" s="45"/>
      <c r="O11" s="33" t="s">
        <v>2184</v>
      </c>
      <c r="P11" s="33"/>
      <c r="Q11" s="33"/>
      <c r="R11" s="33"/>
      <c r="S11" s="33"/>
      <c r="T11" s="33"/>
      <c r="U11" s="33">
        <v>12030103</v>
      </c>
      <c r="V11" s="33" t="s">
        <v>3154</v>
      </c>
      <c r="W11" s="33"/>
      <c r="X11" s="33"/>
      <c r="Y11" s="33" t="s">
        <v>2198</v>
      </c>
      <c r="Z11" s="28" t="s">
        <v>3166</v>
      </c>
    </row>
    <row r="12" spans="1:26" x14ac:dyDescent="0.35">
      <c r="A12" s="38"/>
      <c r="B12" s="39">
        <v>100</v>
      </c>
      <c r="C12" s="39">
        <v>31102009</v>
      </c>
      <c r="D12" s="39" t="s">
        <v>3752</v>
      </c>
      <c r="E12" s="39">
        <v>1</v>
      </c>
      <c r="F12" s="39">
        <v>1</v>
      </c>
      <c r="G12" s="39" t="s">
        <v>3776</v>
      </c>
      <c r="H12" s="40" t="s">
        <v>3754</v>
      </c>
      <c r="I12" s="41"/>
      <c r="J12" s="33" t="s">
        <v>3755</v>
      </c>
      <c r="K12" s="33" t="s">
        <v>2284</v>
      </c>
      <c r="L12" s="33" t="s">
        <v>2247</v>
      </c>
      <c r="M12" s="33" t="s">
        <v>2194</v>
      </c>
      <c r="N12" s="47"/>
      <c r="O12" s="33" t="s">
        <v>3756</v>
      </c>
      <c r="P12" s="41"/>
      <c r="Q12" s="41"/>
      <c r="R12" s="41"/>
      <c r="S12" s="41"/>
      <c r="T12" s="41"/>
      <c r="U12" s="41"/>
      <c r="V12" s="33" t="s">
        <v>3153</v>
      </c>
      <c r="W12" s="33"/>
      <c r="X12" s="33"/>
      <c r="Y12" s="33" t="s">
        <v>3167</v>
      </c>
      <c r="Z12" s="28" t="s">
        <v>3208</v>
      </c>
    </row>
    <row r="13" spans="1:26" x14ac:dyDescent="0.35">
      <c r="A13" s="8"/>
      <c r="B13" s="26">
        <v>100</v>
      </c>
      <c r="C13" s="7">
        <v>31103001</v>
      </c>
      <c r="D13" s="7" t="s">
        <v>1646</v>
      </c>
      <c r="E13" s="7">
        <v>3</v>
      </c>
      <c r="F13" s="7">
        <v>2</v>
      </c>
      <c r="G13" s="7" t="s">
        <v>1640</v>
      </c>
      <c r="H13" s="9" t="s">
        <v>2209</v>
      </c>
      <c r="I13" s="34" t="s">
        <v>2201</v>
      </c>
      <c r="J13" s="33" t="s">
        <v>3782</v>
      </c>
      <c r="K13" s="34" t="s">
        <v>2285</v>
      </c>
      <c r="L13" s="34" t="s">
        <v>2248</v>
      </c>
      <c r="M13" s="34" t="s">
        <v>2195</v>
      </c>
      <c r="N13" s="46"/>
      <c r="O13" s="34" t="s">
        <v>3324</v>
      </c>
      <c r="P13" s="34"/>
      <c r="Q13" s="34"/>
      <c r="R13" s="34" t="s">
        <v>2263</v>
      </c>
      <c r="S13" s="34" t="s">
        <v>2270</v>
      </c>
      <c r="T13" s="34" t="s">
        <v>2193</v>
      </c>
      <c r="U13" s="34" t="s">
        <v>2337</v>
      </c>
      <c r="V13" s="34"/>
      <c r="W13" s="34"/>
      <c r="X13" s="34"/>
      <c r="Y13" s="34"/>
      <c r="Z13" s="8"/>
    </row>
    <row r="14" spans="1:26" x14ac:dyDescent="0.35">
      <c r="A14" s="8"/>
      <c r="B14" s="26">
        <v>100</v>
      </c>
      <c r="C14" s="7">
        <v>31103002</v>
      </c>
      <c r="D14" s="7" t="s">
        <v>1958</v>
      </c>
      <c r="E14" s="7">
        <v>3</v>
      </c>
      <c r="F14" s="7">
        <v>2</v>
      </c>
      <c r="G14" s="7" t="s">
        <v>1957</v>
      </c>
      <c r="H14" s="9" t="s">
        <v>2210</v>
      </c>
      <c r="I14" s="34" t="s">
        <v>2201</v>
      </c>
      <c r="J14" s="33" t="s">
        <v>3782</v>
      </c>
      <c r="K14" s="34" t="s">
        <v>2285</v>
      </c>
      <c r="L14" s="34" t="s">
        <v>2248</v>
      </c>
      <c r="M14" s="34" t="s">
        <v>2195</v>
      </c>
      <c r="N14" s="46"/>
      <c r="O14" s="34" t="s">
        <v>2185</v>
      </c>
      <c r="P14" s="34"/>
      <c r="Q14" s="34"/>
      <c r="R14" s="34" t="s">
        <v>2264</v>
      </c>
      <c r="S14" s="34" t="s">
        <v>2270</v>
      </c>
      <c r="T14" s="34"/>
      <c r="U14" s="34" t="s">
        <v>2337</v>
      </c>
      <c r="V14" s="34"/>
      <c r="W14" s="34"/>
      <c r="X14" s="34"/>
      <c r="Y14" s="34"/>
      <c r="Z14" s="8"/>
    </row>
    <row r="15" spans="1:26" x14ac:dyDescent="0.35">
      <c r="A15" s="8"/>
      <c r="B15" s="26">
        <v>100</v>
      </c>
      <c r="C15" s="7">
        <v>31104001</v>
      </c>
      <c r="D15" s="7" t="s">
        <v>1645</v>
      </c>
      <c r="E15" s="7">
        <v>4</v>
      </c>
      <c r="F15" s="7">
        <v>2</v>
      </c>
      <c r="G15" s="7" t="s">
        <v>1639</v>
      </c>
      <c r="H15" s="9" t="s">
        <v>2211</v>
      </c>
      <c r="I15" s="34" t="s">
        <v>2202</v>
      </c>
      <c r="J15" s="33" t="s">
        <v>3782</v>
      </c>
      <c r="K15" s="34" t="s">
        <v>2285</v>
      </c>
      <c r="L15" s="34" t="s">
        <v>2249</v>
      </c>
      <c r="M15" s="33" t="s">
        <v>2194</v>
      </c>
      <c r="N15" s="45"/>
      <c r="O15" s="34"/>
      <c r="P15" s="34"/>
      <c r="Q15" s="34" t="s">
        <v>3512</v>
      </c>
      <c r="R15" s="34"/>
      <c r="S15" s="34"/>
      <c r="T15" s="34"/>
      <c r="U15" s="34"/>
      <c r="V15" s="34"/>
      <c r="W15" s="34"/>
      <c r="X15" s="34"/>
      <c r="Y15" s="34" t="s">
        <v>2303</v>
      </c>
      <c r="Z15" s="8" t="s">
        <v>3155</v>
      </c>
    </row>
    <row r="16" spans="1:26" x14ac:dyDescent="0.35">
      <c r="A16" s="8"/>
      <c r="B16" s="26">
        <v>100</v>
      </c>
      <c r="C16" s="7">
        <v>31104002</v>
      </c>
      <c r="D16" s="7" t="s">
        <v>3507</v>
      </c>
      <c r="E16" s="7">
        <v>4</v>
      </c>
      <c r="F16" s="7">
        <v>2</v>
      </c>
      <c r="G16" s="7" t="s">
        <v>3508</v>
      </c>
      <c r="H16" s="9" t="s">
        <v>3509</v>
      </c>
      <c r="I16" s="34" t="s">
        <v>3510</v>
      </c>
      <c r="J16" s="33" t="s">
        <v>3782</v>
      </c>
      <c r="K16" s="34" t="s">
        <v>2285</v>
      </c>
      <c r="L16" s="34" t="s">
        <v>2249</v>
      </c>
      <c r="M16" s="33" t="s">
        <v>2194</v>
      </c>
      <c r="N16" s="47"/>
      <c r="O16" s="34"/>
      <c r="P16" s="34"/>
      <c r="Q16" s="34" t="s">
        <v>3513</v>
      </c>
      <c r="R16" s="34"/>
      <c r="S16" s="34"/>
      <c r="T16" s="34"/>
      <c r="U16" s="34"/>
      <c r="V16" s="34"/>
      <c r="W16" s="34"/>
      <c r="X16" s="34"/>
      <c r="Y16" s="34" t="s">
        <v>3511</v>
      </c>
      <c r="Z16" s="8" t="s">
        <v>3155</v>
      </c>
    </row>
    <row r="17" spans="1:26" x14ac:dyDescent="0.35">
      <c r="A17" s="8"/>
      <c r="B17" s="26">
        <v>100</v>
      </c>
      <c r="C17" s="7">
        <v>31105001</v>
      </c>
      <c r="D17" s="7" t="s">
        <v>1977</v>
      </c>
      <c r="E17" s="7">
        <v>5</v>
      </c>
      <c r="F17" s="7">
        <v>2</v>
      </c>
      <c r="G17" s="7" t="s">
        <v>1972</v>
      </c>
      <c r="H17" s="9" t="s">
        <v>2212</v>
      </c>
      <c r="I17" s="34" t="s">
        <v>2201</v>
      </c>
      <c r="J17" s="34" t="s">
        <v>2239</v>
      </c>
      <c r="K17" s="34" t="s">
        <v>2286</v>
      </c>
      <c r="L17" s="34" t="s">
        <v>2250</v>
      </c>
      <c r="M17" s="34" t="s">
        <v>2191</v>
      </c>
      <c r="N17" s="46"/>
      <c r="O17" s="34"/>
      <c r="P17" s="34"/>
      <c r="Q17" s="34" t="s">
        <v>2309</v>
      </c>
      <c r="R17" s="34" t="s">
        <v>1249</v>
      </c>
      <c r="S17" s="34" t="s">
        <v>2271</v>
      </c>
      <c r="T17" s="34" t="s">
        <v>2269</v>
      </c>
      <c r="U17" s="34"/>
      <c r="V17" s="34"/>
      <c r="W17" s="34"/>
      <c r="X17" s="34"/>
      <c r="Y17" s="34"/>
      <c r="Z17" s="8"/>
    </row>
    <row r="18" spans="1:26" x14ac:dyDescent="0.35">
      <c r="A18" s="8"/>
      <c r="B18" s="26">
        <v>100</v>
      </c>
      <c r="C18" s="7">
        <v>31105002</v>
      </c>
      <c r="D18" s="7" t="s">
        <v>1978</v>
      </c>
      <c r="E18" s="7">
        <v>5</v>
      </c>
      <c r="F18" s="7">
        <v>2</v>
      </c>
      <c r="G18" s="7" t="s">
        <v>1969</v>
      </c>
      <c r="H18" s="9" t="s">
        <v>2213</v>
      </c>
      <c r="I18" s="34" t="s">
        <v>2201</v>
      </c>
      <c r="J18" s="34" t="s">
        <v>2240</v>
      </c>
      <c r="K18" s="34" t="s">
        <v>2287</v>
      </c>
      <c r="L18" s="34" t="s">
        <v>2251</v>
      </c>
      <c r="M18" s="33" t="s">
        <v>2194</v>
      </c>
      <c r="N18" s="45"/>
      <c r="O18" s="34" t="s">
        <v>3325</v>
      </c>
      <c r="P18" s="34"/>
      <c r="Q18" s="34" t="s">
        <v>2308</v>
      </c>
      <c r="R18" s="34" t="s">
        <v>2263</v>
      </c>
      <c r="S18" s="34" t="s">
        <v>2272</v>
      </c>
      <c r="T18" s="34" t="s">
        <v>2300</v>
      </c>
      <c r="U18" s="41">
        <v>12030102</v>
      </c>
      <c r="V18" s="34"/>
      <c r="W18" s="34"/>
      <c r="X18" s="34"/>
      <c r="Y18" s="34"/>
      <c r="Z18" s="8"/>
    </row>
    <row r="19" spans="1:26" x14ac:dyDescent="0.35">
      <c r="A19" s="8" t="s">
        <v>104</v>
      </c>
      <c r="B19" s="26">
        <v>100</v>
      </c>
      <c r="C19" s="7">
        <v>31105003</v>
      </c>
      <c r="D19" s="7" t="s">
        <v>2001</v>
      </c>
      <c r="E19" s="7">
        <v>5</v>
      </c>
      <c r="F19" s="7">
        <v>5</v>
      </c>
      <c r="G19" s="7" t="s">
        <v>2000</v>
      </c>
      <c r="H19" s="9" t="s">
        <v>2214</v>
      </c>
      <c r="I19" s="34"/>
      <c r="J19" s="34"/>
      <c r="K19" s="34"/>
      <c r="L19" s="34" t="s">
        <v>1365</v>
      </c>
      <c r="M19" s="34"/>
      <c r="N19" s="46"/>
      <c r="O19" s="34"/>
      <c r="P19" s="34"/>
      <c r="Q19" s="34"/>
      <c r="R19" s="34" t="s">
        <v>2265</v>
      </c>
      <c r="S19" s="34" t="s">
        <v>2273</v>
      </c>
      <c r="T19" s="34" t="s">
        <v>2269</v>
      </c>
      <c r="U19" s="34"/>
      <c r="V19" s="34"/>
      <c r="W19" s="34"/>
      <c r="X19" s="34"/>
      <c r="Y19" s="34"/>
      <c r="Z19" s="8"/>
    </row>
    <row r="20" spans="1:26" x14ac:dyDescent="0.35">
      <c r="A20" s="8"/>
      <c r="B20" s="26">
        <v>100</v>
      </c>
      <c r="C20" s="7">
        <v>31106001</v>
      </c>
      <c r="D20" s="7" t="s">
        <v>1979</v>
      </c>
      <c r="E20" s="7">
        <v>6</v>
      </c>
      <c r="F20" s="7">
        <v>3</v>
      </c>
      <c r="G20" s="7" t="s">
        <v>3784</v>
      </c>
      <c r="H20" s="9" t="s">
        <v>2215</v>
      </c>
      <c r="I20" s="34" t="s">
        <v>2203</v>
      </c>
      <c r="J20" s="34" t="s">
        <v>2241</v>
      </c>
      <c r="K20" s="34" t="s">
        <v>2288</v>
      </c>
      <c r="L20" s="34" t="s">
        <v>2252</v>
      </c>
      <c r="M20" s="34" t="s">
        <v>2196</v>
      </c>
      <c r="N20" s="46"/>
      <c r="O20" s="34" t="s">
        <v>2186</v>
      </c>
      <c r="P20" s="34" t="s">
        <v>2777</v>
      </c>
      <c r="Q20" s="34" t="s">
        <v>2717</v>
      </c>
      <c r="R20" s="34" t="s">
        <v>2263</v>
      </c>
      <c r="S20" s="34" t="s">
        <v>2274</v>
      </c>
      <c r="T20" s="34" t="s">
        <v>2299</v>
      </c>
      <c r="U20" s="34"/>
      <c r="V20" s="34"/>
      <c r="W20" s="34"/>
      <c r="X20" s="34"/>
      <c r="Y20" s="34"/>
      <c r="Z20" s="8"/>
    </row>
    <row r="21" spans="1:26" x14ac:dyDescent="0.35">
      <c r="A21" s="8"/>
      <c r="B21" s="26">
        <v>100</v>
      </c>
      <c r="C21" s="7">
        <v>31106002</v>
      </c>
      <c r="D21" s="7" t="s">
        <v>1980</v>
      </c>
      <c r="E21" s="7">
        <v>6</v>
      </c>
      <c r="F21" s="7">
        <v>3</v>
      </c>
      <c r="G21" s="7" t="s">
        <v>3785</v>
      </c>
      <c r="H21" s="9" t="s">
        <v>2216</v>
      </c>
      <c r="I21" s="34" t="s">
        <v>2203</v>
      </c>
      <c r="J21" s="34" t="s">
        <v>2242</v>
      </c>
      <c r="K21" s="34" t="s">
        <v>2288</v>
      </c>
      <c r="L21" s="34" t="s">
        <v>2253</v>
      </c>
      <c r="M21" s="34" t="s">
        <v>2196</v>
      </c>
      <c r="N21" s="46"/>
      <c r="O21" s="34" t="s">
        <v>2187</v>
      </c>
      <c r="P21" s="34" t="s">
        <v>2777</v>
      </c>
      <c r="Q21" s="34" t="s">
        <v>2718</v>
      </c>
      <c r="R21" s="34" t="s">
        <v>2264</v>
      </c>
      <c r="S21" s="34" t="s">
        <v>2274</v>
      </c>
      <c r="T21" s="34" t="s">
        <v>2269</v>
      </c>
      <c r="U21" s="34"/>
      <c r="V21" s="34"/>
      <c r="W21" s="34"/>
      <c r="X21" s="34"/>
      <c r="Y21" s="34"/>
      <c r="Z21" s="8"/>
    </row>
    <row r="22" spans="1:26" x14ac:dyDescent="0.35">
      <c r="A22" s="8"/>
      <c r="B22" s="26">
        <v>100</v>
      </c>
      <c r="C22" s="7">
        <v>31106003</v>
      </c>
      <c r="D22" s="7" t="s">
        <v>1981</v>
      </c>
      <c r="E22" s="7">
        <v>6</v>
      </c>
      <c r="F22" s="7">
        <v>3</v>
      </c>
      <c r="G22" s="7" t="s">
        <v>3786</v>
      </c>
      <c r="H22" s="9" t="s">
        <v>2217</v>
      </c>
      <c r="I22" s="34" t="s">
        <v>2203</v>
      </c>
      <c r="J22" s="34" t="s">
        <v>2242</v>
      </c>
      <c r="K22" s="34" t="s">
        <v>2288</v>
      </c>
      <c r="L22" s="34" t="s">
        <v>2254</v>
      </c>
      <c r="M22" s="34" t="s">
        <v>2196</v>
      </c>
      <c r="N22" s="46"/>
      <c r="O22" s="34" t="s">
        <v>2188</v>
      </c>
      <c r="P22" s="34" t="s">
        <v>2777</v>
      </c>
      <c r="Q22" s="34" t="s">
        <v>2719</v>
      </c>
      <c r="R22" s="34" t="s">
        <v>2264</v>
      </c>
      <c r="S22" s="34" t="s">
        <v>2274</v>
      </c>
      <c r="T22" s="34" t="s">
        <v>2269</v>
      </c>
      <c r="U22" s="34"/>
      <c r="V22" s="34"/>
      <c r="W22" s="34"/>
      <c r="X22" s="34"/>
      <c r="Y22" s="34"/>
      <c r="Z22" s="8"/>
    </row>
    <row r="23" spans="1:26" x14ac:dyDescent="0.35">
      <c r="A23" s="8"/>
      <c r="B23" s="26">
        <v>100</v>
      </c>
      <c r="C23" s="7">
        <v>31106004</v>
      </c>
      <c r="D23" s="7" t="s">
        <v>1982</v>
      </c>
      <c r="E23" s="7">
        <v>6</v>
      </c>
      <c r="F23" s="7">
        <v>3</v>
      </c>
      <c r="G23" s="7" t="s">
        <v>3787</v>
      </c>
      <c r="H23" s="9" t="s">
        <v>2218</v>
      </c>
      <c r="I23" s="34" t="s">
        <v>2203</v>
      </c>
      <c r="J23" s="34" t="s">
        <v>2242</v>
      </c>
      <c r="K23" s="34" t="s">
        <v>2288</v>
      </c>
      <c r="L23" s="34" t="s">
        <v>2252</v>
      </c>
      <c r="M23" s="34" t="s">
        <v>2196</v>
      </c>
      <c r="N23" s="46"/>
      <c r="O23" s="34" t="s">
        <v>2189</v>
      </c>
      <c r="P23" s="34" t="s">
        <v>2777</v>
      </c>
      <c r="Q23" s="34" t="s">
        <v>2720</v>
      </c>
      <c r="R23" s="34" t="s">
        <v>2264</v>
      </c>
      <c r="S23" s="34" t="s">
        <v>2274</v>
      </c>
      <c r="T23" s="34" t="s">
        <v>2269</v>
      </c>
      <c r="U23" s="34">
        <v>12030104</v>
      </c>
      <c r="V23" s="34"/>
      <c r="W23" s="34"/>
      <c r="X23" s="34"/>
      <c r="Y23" s="34"/>
      <c r="Z23" s="8"/>
    </row>
    <row r="24" spans="1:26" x14ac:dyDescent="0.35">
      <c r="A24" s="8" t="s">
        <v>104</v>
      </c>
      <c r="B24" s="26">
        <v>100</v>
      </c>
      <c r="C24" s="7">
        <v>31106005</v>
      </c>
      <c r="D24" s="7" t="s">
        <v>1983</v>
      </c>
      <c r="E24" s="7">
        <v>6</v>
      </c>
      <c r="F24" s="7">
        <v>3</v>
      </c>
      <c r="G24" s="7" t="s">
        <v>1959</v>
      </c>
      <c r="H24" s="9" t="s">
        <v>2219</v>
      </c>
      <c r="I24" s="34" t="s">
        <v>3490</v>
      </c>
      <c r="J24" s="34" t="s">
        <v>2241</v>
      </c>
      <c r="K24" s="34" t="s">
        <v>2288</v>
      </c>
      <c r="L24" s="34" t="s">
        <v>2255</v>
      </c>
      <c r="M24" s="34" t="s">
        <v>2196</v>
      </c>
      <c r="N24" s="46"/>
      <c r="O24" s="34" t="s">
        <v>2190</v>
      </c>
      <c r="P24" s="34" t="s">
        <v>2777</v>
      </c>
      <c r="Q24" s="34" t="s">
        <v>2721</v>
      </c>
      <c r="R24" s="34" t="s">
        <v>2266</v>
      </c>
      <c r="S24" s="34" t="s">
        <v>2274</v>
      </c>
      <c r="T24" s="34" t="s">
        <v>2299</v>
      </c>
      <c r="U24" s="34"/>
      <c r="V24" s="34"/>
      <c r="W24" s="34"/>
      <c r="X24" s="34"/>
      <c r="Y24" s="34"/>
      <c r="Z24" s="8"/>
    </row>
    <row r="25" spans="1:26" x14ac:dyDescent="0.35">
      <c r="A25" s="8" t="s">
        <v>104</v>
      </c>
      <c r="B25" s="26">
        <v>100</v>
      </c>
      <c r="C25" s="7">
        <v>31107001</v>
      </c>
      <c r="D25" s="7" t="s">
        <v>1984</v>
      </c>
      <c r="E25" s="7">
        <v>7</v>
      </c>
      <c r="F25" s="7">
        <v>4</v>
      </c>
      <c r="G25" s="7" t="s">
        <v>1960</v>
      </c>
      <c r="H25" s="9" t="s">
        <v>2220</v>
      </c>
      <c r="I25" s="34"/>
      <c r="J25" s="34"/>
      <c r="K25" s="34"/>
      <c r="L25" s="34" t="s">
        <v>1365</v>
      </c>
      <c r="M25" s="34"/>
      <c r="N25" s="46"/>
      <c r="O25" s="34"/>
      <c r="P25" s="34" t="s">
        <v>2260</v>
      </c>
      <c r="Q25" s="34" t="s">
        <v>2722</v>
      </c>
      <c r="R25" s="34" t="s">
        <v>2266</v>
      </c>
      <c r="S25" s="34" t="s">
        <v>2274</v>
      </c>
      <c r="T25" s="34" t="s">
        <v>2300</v>
      </c>
      <c r="U25" s="34"/>
      <c r="V25" s="34"/>
      <c r="W25" s="34"/>
      <c r="X25" s="34"/>
      <c r="Y25" s="34"/>
      <c r="Z25" s="8"/>
    </row>
    <row r="26" spans="1:26" x14ac:dyDescent="0.35">
      <c r="A26" s="8" t="s">
        <v>104</v>
      </c>
      <c r="B26" s="26">
        <v>100</v>
      </c>
      <c r="C26" s="7">
        <v>31107002</v>
      </c>
      <c r="D26" s="7" t="s">
        <v>1985</v>
      </c>
      <c r="E26" s="7">
        <v>7</v>
      </c>
      <c r="F26" s="7">
        <v>4</v>
      </c>
      <c r="G26" s="7" t="s">
        <v>1961</v>
      </c>
      <c r="H26" s="9" t="s">
        <v>2221</v>
      </c>
      <c r="I26" s="34"/>
      <c r="J26" s="34"/>
      <c r="K26" s="34"/>
      <c r="L26" s="34" t="s">
        <v>1365</v>
      </c>
      <c r="M26" s="34"/>
      <c r="N26" s="46"/>
      <c r="O26" s="34"/>
      <c r="P26" s="34" t="s">
        <v>2260</v>
      </c>
      <c r="Q26" s="34" t="s">
        <v>2723</v>
      </c>
      <c r="R26" s="34" t="s">
        <v>2266</v>
      </c>
      <c r="S26" s="34" t="s">
        <v>2274</v>
      </c>
      <c r="T26" s="34" t="s">
        <v>2300</v>
      </c>
      <c r="U26" s="34"/>
      <c r="V26" s="34"/>
      <c r="W26" s="34"/>
      <c r="X26" s="34"/>
      <c r="Y26" s="34"/>
      <c r="Z26" s="8"/>
    </row>
    <row r="27" spans="1:26" x14ac:dyDescent="0.35">
      <c r="A27" s="28" t="s">
        <v>104</v>
      </c>
      <c r="B27" s="26">
        <v>100</v>
      </c>
      <c r="C27" s="7">
        <v>31107003</v>
      </c>
      <c r="D27" s="7" t="s">
        <v>1986</v>
      </c>
      <c r="E27" s="7">
        <v>7</v>
      </c>
      <c r="F27" s="7">
        <v>4</v>
      </c>
      <c r="G27" s="7" t="s">
        <v>1962</v>
      </c>
      <c r="H27" s="29" t="s">
        <v>2222</v>
      </c>
      <c r="I27" s="33"/>
      <c r="J27" s="33"/>
      <c r="K27" s="33"/>
      <c r="L27" s="33" t="s">
        <v>1365</v>
      </c>
      <c r="M27" s="33"/>
      <c r="N27" s="45"/>
      <c r="O27" s="33"/>
      <c r="P27" s="34" t="s">
        <v>2260</v>
      </c>
      <c r="Q27" s="33"/>
      <c r="R27" s="33" t="s">
        <v>2266</v>
      </c>
      <c r="S27" s="34" t="s">
        <v>2274</v>
      </c>
      <c r="T27" s="34" t="s">
        <v>2300</v>
      </c>
      <c r="U27" s="33"/>
      <c r="V27" s="33"/>
      <c r="W27" s="33"/>
      <c r="X27" s="33"/>
      <c r="Y27" s="33"/>
      <c r="Z27" s="28"/>
    </row>
    <row r="28" spans="1:26" x14ac:dyDescent="0.35">
      <c r="A28" s="8" t="s">
        <v>104</v>
      </c>
      <c r="B28" s="26">
        <v>100</v>
      </c>
      <c r="C28" s="7">
        <v>31108002</v>
      </c>
      <c r="D28" s="7" t="s">
        <v>1987</v>
      </c>
      <c r="E28" s="7">
        <v>8</v>
      </c>
      <c r="F28" s="7">
        <v>4</v>
      </c>
      <c r="G28" s="7" t="s">
        <v>1963</v>
      </c>
      <c r="H28" s="9" t="s">
        <v>2224</v>
      </c>
      <c r="I28" s="34"/>
      <c r="J28" s="34"/>
      <c r="K28" s="34"/>
      <c r="L28" s="34" t="s">
        <v>1365</v>
      </c>
      <c r="M28" s="34"/>
      <c r="N28" s="46"/>
      <c r="O28" s="34"/>
      <c r="P28" s="34"/>
      <c r="Q28" s="34"/>
      <c r="R28" s="34" t="s">
        <v>2263</v>
      </c>
      <c r="S28" s="34" t="s">
        <v>2272</v>
      </c>
      <c r="T28" s="34" t="s">
        <v>2300</v>
      </c>
      <c r="U28" s="34"/>
      <c r="V28" s="34"/>
      <c r="W28" s="34"/>
      <c r="X28" s="34"/>
      <c r="Y28" s="34"/>
      <c r="Z28" s="8"/>
    </row>
    <row r="29" spans="1:26" x14ac:dyDescent="0.35">
      <c r="A29" s="8" t="s">
        <v>104</v>
      </c>
      <c r="B29" s="26">
        <v>100</v>
      </c>
      <c r="C29" s="7">
        <v>31108003</v>
      </c>
      <c r="D29" s="7" t="s">
        <v>1988</v>
      </c>
      <c r="E29" s="7">
        <v>8</v>
      </c>
      <c r="F29" s="7">
        <v>4</v>
      </c>
      <c r="G29" s="7" t="s">
        <v>1964</v>
      </c>
      <c r="H29" s="9" t="s">
        <v>2225</v>
      </c>
      <c r="I29" s="34"/>
      <c r="J29" s="34"/>
      <c r="K29" s="34"/>
      <c r="L29" s="34" t="s">
        <v>1365</v>
      </c>
      <c r="M29" s="34"/>
      <c r="N29" s="46"/>
      <c r="O29" s="34"/>
      <c r="P29" s="34"/>
      <c r="Q29" s="34"/>
      <c r="R29" s="34" t="s">
        <v>2298</v>
      </c>
      <c r="S29" s="34" t="s">
        <v>2272</v>
      </c>
      <c r="T29" s="34" t="s">
        <v>2269</v>
      </c>
      <c r="U29" s="34"/>
      <c r="V29" s="34"/>
      <c r="W29" s="34"/>
      <c r="X29" s="34"/>
      <c r="Y29" s="34"/>
      <c r="Z29" s="8"/>
    </row>
    <row r="30" spans="1:26" x14ac:dyDescent="0.35">
      <c r="A30" s="8" t="s">
        <v>104</v>
      </c>
      <c r="B30" s="26">
        <v>100</v>
      </c>
      <c r="C30" s="7">
        <v>31108004</v>
      </c>
      <c r="D30" s="7" t="s">
        <v>1989</v>
      </c>
      <c r="E30" s="7">
        <v>8</v>
      </c>
      <c r="F30" s="7">
        <v>4</v>
      </c>
      <c r="G30" s="7" t="s">
        <v>1965</v>
      </c>
      <c r="H30" s="9" t="s">
        <v>2226</v>
      </c>
      <c r="I30" s="34"/>
      <c r="J30" s="34"/>
      <c r="K30" s="34"/>
      <c r="L30" s="34" t="s">
        <v>1365</v>
      </c>
      <c r="M30" s="34"/>
      <c r="N30" s="46"/>
      <c r="O30" s="34"/>
      <c r="P30" s="34"/>
      <c r="Q30" s="34"/>
      <c r="R30" s="34" t="s">
        <v>2264</v>
      </c>
      <c r="S30" s="34" t="s">
        <v>2272</v>
      </c>
      <c r="T30" s="34" t="s">
        <v>2269</v>
      </c>
      <c r="U30" s="34"/>
      <c r="V30" s="34"/>
      <c r="W30" s="34"/>
      <c r="X30" s="34"/>
      <c r="Y30" s="34"/>
      <c r="Z30" s="8"/>
    </row>
    <row r="31" spans="1:26" x14ac:dyDescent="0.35">
      <c r="A31" s="8" t="s">
        <v>104</v>
      </c>
      <c r="B31" s="26">
        <v>100</v>
      </c>
      <c r="C31" s="7">
        <v>31108005</v>
      </c>
      <c r="D31" s="7" t="s">
        <v>1990</v>
      </c>
      <c r="E31" s="7">
        <v>8</v>
      </c>
      <c r="F31" s="7">
        <v>4</v>
      </c>
      <c r="G31" s="7" t="s">
        <v>1966</v>
      </c>
      <c r="H31" s="9" t="s">
        <v>2227</v>
      </c>
      <c r="I31" s="34"/>
      <c r="J31" s="34"/>
      <c r="K31" s="34"/>
      <c r="L31" s="34" t="s">
        <v>1365</v>
      </c>
      <c r="M31" s="34"/>
      <c r="N31" s="46"/>
      <c r="O31" s="34"/>
      <c r="P31" s="34"/>
      <c r="Q31" s="34"/>
      <c r="R31" s="34" t="s">
        <v>2264</v>
      </c>
      <c r="S31" s="34" t="s">
        <v>2272</v>
      </c>
      <c r="T31" s="34" t="s">
        <v>2269</v>
      </c>
      <c r="U31" s="34"/>
      <c r="V31" s="34"/>
      <c r="W31" s="34"/>
      <c r="X31" s="34"/>
      <c r="Y31" s="34"/>
      <c r="Z31" s="8"/>
    </row>
    <row r="32" spans="1:26" x14ac:dyDescent="0.35">
      <c r="A32" s="8" t="s">
        <v>104</v>
      </c>
      <c r="B32" s="26">
        <v>100</v>
      </c>
      <c r="C32" s="7">
        <v>31108006</v>
      </c>
      <c r="D32" s="7" t="s">
        <v>1991</v>
      </c>
      <c r="E32" s="7">
        <v>8</v>
      </c>
      <c r="F32" s="7">
        <v>4</v>
      </c>
      <c r="G32" s="7" t="s">
        <v>1967</v>
      </c>
      <c r="H32" s="9" t="s">
        <v>2228</v>
      </c>
      <c r="I32" s="34"/>
      <c r="J32" s="34"/>
      <c r="K32" s="34"/>
      <c r="L32" s="34" t="s">
        <v>1365</v>
      </c>
      <c r="M32" s="34"/>
      <c r="N32" s="46"/>
      <c r="O32" s="34"/>
      <c r="P32" s="34"/>
      <c r="Q32" s="34"/>
      <c r="R32" s="34" t="s">
        <v>2264</v>
      </c>
      <c r="S32" s="34" t="s">
        <v>2272</v>
      </c>
      <c r="T32" s="34" t="s">
        <v>2269</v>
      </c>
      <c r="U32" s="34"/>
      <c r="V32" s="34"/>
      <c r="W32" s="34"/>
      <c r="X32" s="34"/>
      <c r="Y32" s="34"/>
      <c r="Z32" s="8"/>
    </row>
    <row r="33" spans="1:26" x14ac:dyDescent="0.35">
      <c r="A33" s="8" t="s">
        <v>104</v>
      </c>
      <c r="B33" s="26">
        <v>100</v>
      </c>
      <c r="C33" s="7">
        <v>31108007</v>
      </c>
      <c r="D33" s="7" t="s">
        <v>3496</v>
      </c>
      <c r="E33" s="7">
        <v>8</v>
      </c>
      <c r="F33" s="7">
        <v>4</v>
      </c>
      <c r="G33" s="7" t="s">
        <v>3495</v>
      </c>
      <c r="H33" s="9" t="s">
        <v>2230</v>
      </c>
      <c r="I33" s="34"/>
      <c r="J33" s="34"/>
      <c r="K33" s="34"/>
      <c r="L33" s="34"/>
      <c r="M33" s="34"/>
      <c r="N33" s="46"/>
      <c r="O33" s="34"/>
      <c r="P33" s="34"/>
      <c r="Q33" s="34"/>
      <c r="R33" s="34" t="s">
        <v>2263</v>
      </c>
      <c r="S33" s="34" t="s">
        <v>2275</v>
      </c>
      <c r="T33" s="34" t="s">
        <v>2300</v>
      </c>
      <c r="U33" s="34"/>
      <c r="V33" s="34"/>
      <c r="W33" s="34"/>
      <c r="X33" s="34"/>
      <c r="Y33" s="34"/>
      <c r="Z33" s="8"/>
    </row>
    <row r="34" spans="1:26" x14ac:dyDescent="0.35">
      <c r="A34" s="8" t="s">
        <v>104</v>
      </c>
      <c r="B34" s="26">
        <v>100</v>
      </c>
      <c r="C34" s="7">
        <v>31108008</v>
      </c>
      <c r="D34" s="7" t="s">
        <v>3494</v>
      </c>
      <c r="E34" s="7">
        <v>8</v>
      </c>
      <c r="F34" s="7">
        <v>4</v>
      </c>
      <c r="G34" s="7" t="s">
        <v>3493</v>
      </c>
      <c r="H34" s="9" t="s">
        <v>2231</v>
      </c>
      <c r="I34" s="34"/>
      <c r="J34" s="34"/>
      <c r="K34" s="34"/>
      <c r="L34" s="34"/>
      <c r="M34" s="34"/>
      <c r="N34" s="46"/>
      <c r="O34" s="34"/>
      <c r="P34" s="34"/>
      <c r="Q34" s="34"/>
      <c r="R34" s="34" t="s">
        <v>2263</v>
      </c>
      <c r="S34" s="34" t="s">
        <v>2275</v>
      </c>
      <c r="T34" s="34" t="s">
        <v>2300</v>
      </c>
      <c r="U34" s="34"/>
      <c r="V34" s="34"/>
      <c r="W34" s="34"/>
      <c r="X34" s="34"/>
      <c r="Y34" s="34"/>
      <c r="Z34" s="8"/>
    </row>
    <row r="35" spans="1:26" x14ac:dyDescent="0.35">
      <c r="A35" s="8" t="s">
        <v>104</v>
      </c>
      <c r="B35" s="26">
        <v>100</v>
      </c>
      <c r="C35" s="7">
        <v>31108009</v>
      </c>
      <c r="D35" s="7" t="s">
        <v>1992</v>
      </c>
      <c r="E35" s="7">
        <v>8</v>
      </c>
      <c r="F35" s="7">
        <v>4</v>
      </c>
      <c r="G35" s="7" t="s">
        <v>1968</v>
      </c>
      <c r="H35" s="9" t="s">
        <v>2229</v>
      </c>
      <c r="I35" s="34"/>
      <c r="J35" s="34"/>
      <c r="K35" s="34"/>
      <c r="L35" s="34" t="s">
        <v>1365</v>
      </c>
      <c r="M35" s="34"/>
      <c r="N35" s="46"/>
      <c r="O35" s="34"/>
      <c r="P35" s="34"/>
      <c r="Q35" s="34"/>
      <c r="R35" s="34" t="s">
        <v>2267</v>
      </c>
      <c r="S35" s="34" t="s">
        <v>2272</v>
      </c>
      <c r="T35" s="34" t="s">
        <v>2269</v>
      </c>
      <c r="U35" s="34"/>
      <c r="V35" s="34"/>
      <c r="W35" s="34"/>
      <c r="X35" s="34"/>
      <c r="Y35" s="34"/>
      <c r="Z35" s="8"/>
    </row>
    <row r="36" spans="1:26" x14ac:dyDescent="0.35">
      <c r="A36" s="8" t="s">
        <v>104</v>
      </c>
      <c r="B36" s="26">
        <v>100</v>
      </c>
      <c r="C36" s="7">
        <v>31109001</v>
      </c>
      <c r="D36" s="7" t="s">
        <v>1993</v>
      </c>
      <c r="E36" s="7">
        <v>9</v>
      </c>
      <c r="F36" s="7">
        <v>5</v>
      </c>
      <c r="G36" s="7" t="s">
        <v>1969</v>
      </c>
      <c r="H36" s="9" t="s">
        <v>3491</v>
      </c>
      <c r="I36" s="34"/>
      <c r="J36" s="34"/>
      <c r="K36" s="34"/>
      <c r="L36" s="34" t="s">
        <v>1365</v>
      </c>
      <c r="M36" s="34"/>
      <c r="N36" s="46"/>
      <c r="O36" s="34"/>
      <c r="P36" s="34"/>
      <c r="Q36" s="34"/>
      <c r="R36" s="34" t="s">
        <v>1249</v>
      </c>
      <c r="S36" s="34" t="s">
        <v>2275</v>
      </c>
      <c r="T36" s="34" t="s">
        <v>2300</v>
      </c>
      <c r="U36" s="34"/>
      <c r="V36" s="34"/>
      <c r="W36" s="34"/>
      <c r="X36" s="34"/>
      <c r="Y36" s="34"/>
      <c r="Z36" s="8"/>
    </row>
    <row r="37" spans="1:26" x14ac:dyDescent="0.35">
      <c r="A37" s="8" t="s">
        <v>104</v>
      </c>
      <c r="B37" s="26">
        <v>100</v>
      </c>
      <c r="C37" s="7">
        <v>31109002</v>
      </c>
      <c r="D37" s="7" t="s">
        <v>1994</v>
      </c>
      <c r="E37" s="7">
        <v>9</v>
      </c>
      <c r="F37" s="7">
        <v>5</v>
      </c>
      <c r="G37" s="7" t="s">
        <v>1970</v>
      </c>
      <c r="H37" s="9" t="s">
        <v>3492</v>
      </c>
      <c r="I37" s="34"/>
      <c r="J37" s="34"/>
      <c r="K37" s="34"/>
      <c r="L37" s="34" t="s">
        <v>1365</v>
      </c>
      <c r="M37" s="34"/>
      <c r="N37" s="46"/>
      <c r="O37" s="34"/>
      <c r="P37" s="34"/>
      <c r="Q37" s="34"/>
      <c r="R37" s="34" t="s">
        <v>1249</v>
      </c>
      <c r="S37" s="34" t="s">
        <v>2275</v>
      </c>
      <c r="T37" s="34" t="s">
        <v>2300</v>
      </c>
      <c r="U37" s="34"/>
      <c r="V37" s="34"/>
      <c r="W37" s="34"/>
      <c r="X37" s="34"/>
      <c r="Y37" s="34"/>
      <c r="Z37" s="8"/>
    </row>
    <row r="38" spans="1:26" x14ac:dyDescent="0.35">
      <c r="A38" s="8" t="s">
        <v>104</v>
      </c>
      <c r="B38" s="26">
        <v>100</v>
      </c>
      <c r="C38" s="7">
        <v>31109003</v>
      </c>
      <c r="D38" s="7" t="s">
        <v>1995</v>
      </c>
      <c r="E38" s="7">
        <v>9</v>
      </c>
      <c r="F38" s="7">
        <v>5</v>
      </c>
      <c r="G38" s="7" t="s">
        <v>1971</v>
      </c>
      <c r="H38" s="9" t="s">
        <v>2232</v>
      </c>
      <c r="I38" s="34" t="s">
        <v>3490</v>
      </c>
      <c r="J38" s="34" t="s">
        <v>2243</v>
      </c>
      <c r="K38" s="34" t="s">
        <v>2289</v>
      </c>
      <c r="L38" s="34" t="s">
        <v>2257</v>
      </c>
      <c r="M38" s="34" t="s">
        <v>2195</v>
      </c>
      <c r="N38" s="46"/>
      <c r="O38" s="34" t="s">
        <v>3327</v>
      </c>
      <c r="P38" s="34"/>
      <c r="Q38" s="34"/>
      <c r="R38" s="34" t="s">
        <v>2268</v>
      </c>
      <c r="S38" s="34" t="s">
        <v>2274</v>
      </c>
      <c r="T38" s="34" t="s">
        <v>2269</v>
      </c>
      <c r="U38" s="34"/>
      <c r="V38" s="34"/>
      <c r="W38" s="34"/>
      <c r="X38" s="34"/>
      <c r="Y38" s="34"/>
      <c r="Z38" s="8"/>
    </row>
    <row r="39" spans="1:26" x14ac:dyDescent="0.35">
      <c r="A39" s="8" t="s">
        <v>104</v>
      </c>
      <c r="B39" s="26">
        <v>100</v>
      </c>
      <c r="C39" s="7">
        <v>31198001</v>
      </c>
      <c r="D39" s="7" t="s">
        <v>1996</v>
      </c>
      <c r="E39" s="7">
        <v>98</v>
      </c>
      <c r="F39" s="7">
        <v>6</v>
      </c>
      <c r="G39" s="7" t="s">
        <v>1976</v>
      </c>
      <c r="H39" s="9" t="s">
        <v>2233</v>
      </c>
      <c r="I39" s="34"/>
      <c r="J39" s="34"/>
      <c r="K39" s="34"/>
      <c r="L39" s="34" t="s">
        <v>1365</v>
      </c>
      <c r="M39" s="34"/>
      <c r="N39" s="46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8"/>
    </row>
    <row r="40" spans="1:26" x14ac:dyDescent="0.35">
      <c r="A40" s="8" t="s">
        <v>104</v>
      </c>
      <c r="B40" s="26">
        <v>100</v>
      </c>
      <c r="C40" s="7">
        <v>31198003</v>
      </c>
      <c r="D40" s="7" t="s">
        <v>1997</v>
      </c>
      <c r="E40" s="7">
        <v>98</v>
      </c>
      <c r="F40" s="7">
        <v>6</v>
      </c>
      <c r="G40" s="7" t="s">
        <v>1975</v>
      </c>
      <c r="H40" s="9" t="s">
        <v>2233</v>
      </c>
      <c r="I40" s="34"/>
      <c r="J40" s="34"/>
      <c r="K40" s="34"/>
      <c r="L40" s="34" t="s">
        <v>1365</v>
      </c>
      <c r="M40" s="34"/>
      <c r="N40" s="46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8"/>
    </row>
    <row r="41" spans="1:26" x14ac:dyDescent="0.35">
      <c r="A41" s="8"/>
      <c r="B41" s="26">
        <v>100</v>
      </c>
      <c r="C41" s="7">
        <v>31199001</v>
      </c>
      <c r="D41" s="7" t="s">
        <v>1998</v>
      </c>
      <c r="E41" s="7">
        <v>99</v>
      </c>
      <c r="F41" s="7">
        <v>6</v>
      </c>
      <c r="G41" s="7" t="s">
        <v>1973</v>
      </c>
      <c r="H41" s="9" t="s">
        <v>2234</v>
      </c>
      <c r="I41" s="34" t="s">
        <v>3506</v>
      </c>
      <c r="J41" s="34"/>
      <c r="K41" s="34" t="s">
        <v>3481</v>
      </c>
      <c r="L41" s="34" t="s">
        <v>2258</v>
      </c>
      <c r="M41" s="34" t="s">
        <v>2197</v>
      </c>
      <c r="N41" s="46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8"/>
    </row>
    <row r="42" spans="1:26" x14ac:dyDescent="0.35">
      <c r="A42" s="8"/>
      <c r="B42" s="26">
        <v>100</v>
      </c>
      <c r="C42" s="7">
        <v>31199002</v>
      </c>
      <c r="D42" s="7" t="s">
        <v>1999</v>
      </c>
      <c r="E42" s="7">
        <v>99</v>
      </c>
      <c r="F42" s="7">
        <v>6</v>
      </c>
      <c r="G42" s="7" t="s">
        <v>1974</v>
      </c>
      <c r="H42" s="9" t="s">
        <v>2235</v>
      </c>
      <c r="I42" s="34" t="s">
        <v>3506</v>
      </c>
      <c r="J42" s="34"/>
      <c r="K42" s="34" t="s">
        <v>3482</v>
      </c>
      <c r="L42" s="34" t="s">
        <v>2259</v>
      </c>
      <c r="M42" s="34" t="s">
        <v>2198</v>
      </c>
      <c r="N42" s="46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8"/>
    </row>
    <row r="43" spans="1:26" x14ac:dyDescent="0.35">
      <c r="A43" s="8"/>
      <c r="B43" s="26">
        <v>100</v>
      </c>
      <c r="C43" s="7"/>
      <c r="D43" s="7"/>
      <c r="E43" s="7"/>
      <c r="F43" s="7"/>
      <c r="G43" s="7"/>
      <c r="H43" s="9"/>
      <c r="I43" s="34"/>
      <c r="J43" s="34"/>
      <c r="K43" s="34"/>
      <c r="L43" s="34"/>
      <c r="M43" s="34"/>
      <c r="N43" s="46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8"/>
    </row>
    <row r="44" spans="1:26" x14ac:dyDescent="0.35">
      <c r="A44" s="8"/>
      <c r="B44" s="26">
        <v>100</v>
      </c>
      <c r="C44" s="7"/>
      <c r="D44" s="7"/>
      <c r="E44" s="7"/>
      <c r="F44" s="7"/>
      <c r="G44" s="7"/>
      <c r="H44" s="9"/>
      <c r="I44" s="34"/>
      <c r="J44" s="34"/>
      <c r="K44" s="34"/>
      <c r="L44" s="34"/>
      <c r="M44" s="34"/>
      <c r="N44" s="46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8"/>
    </row>
    <row r="45" spans="1:26" x14ac:dyDescent="0.35">
      <c r="A45" s="8"/>
      <c r="B45" s="26">
        <v>100</v>
      </c>
      <c r="C45" s="7"/>
      <c r="D45" s="7"/>
      <c r="E45" s="7"/>
      <c r="F45" s="7"/>
      <c r="G45" s="7"/>
      <c r="H45" s="9"/>
      <c r="I45" s="34"/>
      <c r="J45" s="34"/>
      <c r="K45" s="34"/>
      <c r="L45" s="34"/>
      <c r="M45" s="34"/>
      <c r="N45" s="46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8"/>
    </row>
    <row r="46" spans="1:26" x14ac:dyDescent="0.35">
      <c r="A46" s="8"/>
      <c r="B46" s="26">
        <v>100</v>
      </c>
      <c r="C46" s="7"/>
      <c r="D46" s="7"/>
      <c r="E46" s="7"/>
      <c r="F46" s="7"/>
      <c r="G46" s="7"/>
      <c r="H46" s="9"/>
      <c r="I46" s="34"/>
      <c r="J46" s="34"/>
      <c r="K46" s="34"/>
      <c r="L46" s="34"/>
      <c r="M46" s="34"/>
      <c r="N46" s="46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8"/>
    </row>
    <row r="47" spans="1:26" x14ac:dyDescent="0.35">
      <c r="A47" s="8"/>
      <c r="B47" s="26">
        <v>100</v>
      </c>
      <c r="C47" s="7"/>
      <c r="D47" s="7"/>
      <c r="E47" s="7"/>
      <c r="F47" s="7"/>
      <c r="G47" s="7"/>
      <c r="H47" s="9"/>
      <c r="I47" s="34"/>
      <c r="J47" s="34"/>
      <c r="K47" s="34"/>
      <c r="L47" s="34"/>
      <c r="M47" s="34"/>
      <c r="N47" s="46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8"/>
    </row>
    <row r="48" spans="1:26" x14ac:dyDescent="0.35">
      <c r="A48" s="8"/>
      <c r="B48" s="26">
        <v>100</v>
      </c>
      <c r="C48" s="7"/>
      <c r="D48" s="7"/>
      <c r="E48" s="7"/>
      <c r="F48" s="7"/>
      <c r="G48" s="7"/>
      <c r="H48" s="9"/>
      <c r="I48" s="34"/>
      <c r="J48" s="34"/>
      <c r="K48" s="34"/>
      <c r="L48" s="34"/>
      <c r="M48" s="34"/>
      <c r="N48" s="46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8"/>
    </row>
    <row r="49" spans="1:26" x14ac:dyDescent="0.35">
      <c r="A49" s="8"/>
      <c r="B49" s="26">
        <v>100</v>
      </c>
      <c r="C49" s="7"/>
      <c r="D49" s="7"/>
      <c r="E49" s="7"/>
      <c r="F49" s="7"/>
      <c r="G49" s="7"/>
      <c r="H49" s="9"/>
      <c r="I49" s="34"/>
      <c r="J49" s="34"/>
      <c r="K49" s="34"/>
      <c r="L49" s="34"/>
      <c r="M49" s="34"/>
      <c r="N49" s="46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8"/>
    </row>
    <row r="50" spans="1:26" x14ac:dyDescent="0.35">
      <c r="A50" s="8"/>
      <c r="B50" s="26">
        <v>100</v>
      </c>
      <c r="C50" s="7"/>
      <c r="D50" s="7"/>
      <c r="E50" s="7"/>
      <c r="F50" s="7"/>
      <c r="G50" s="7"/>
      <c r="H50" s="9"/>
      <c r="I50" s="34"/>
      <c r="J50" s="34"/>
      <c r="K50" s="34"/>
      <c r="L50" s="34"/>
      <c r="M50" s="34"/>
      <c r="N50" s="46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8"/>
    </row>
    <row r="51" spans="1:26" x14ac:dyDescent="0.35">
      <c r="A51" s="8"/>
      <c r="B51" s="26">
        <v>100</v>
      </c>
      <c r="C51" s="7"/>
      <c r="D51" s="7"/>
      <c r="E51" s="7"/>
      <c r="F51" s="7"/>
      <c r="G51" s="7"/>
      <c r="H51" s="9"/>
      <c r="I51" s="34"/>
      <c r="J51" s="34"/>
      <c r="K51" s="34"/>
      <c r="L51" s="34"/>
      <c r="M51" s="34"/>
      <c r="N51" s="46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8"/>
    </row>
    <row r="52" spans="1:26" x14ac:dyDescent="0.35">
      <c r="A52" s="8"/>
      <c r="B52" s="26">
        <v>100</v>
      </c>
      <c r="C52" s="7"/>
      <c r="D52" s="7"/>
      <c r="E52" s="7"/>
      <c r="F52" s="7"/>
      <c r="G52" s="7"/>
      <c r="H52" s="9"/>
      <c r="I52" s="34"/>
      <c r="J52" s="34"/>
      <c r="K52" s="34"/>
      <c r="L52" s="34"/>
      <c r="M52" s="34"/>
      <c r="N52" s="46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8"/>
    </row>
    <row r="53" spans="1:26" x14ac:dyDescent="0.35">
      <c r="A53" s="8"/>
      <c r="B53" s="26">
        <v>100</v>
      </c>
      <c r="C53" s="7"/>
      <c r="D53" s="7"/>
      <c r="E53" s="7"/>
      <c r="F53" s="7"/>
      <c r="G53" s="7"/>
      <c r="H53" s="9"/>
      <c r="I53" s="34"/>
      <c r="J53" s="34"/>
      <c r="K53" s="34"/>
      <c r="L53" s="34"/>
      <c r="M53" s="34"/>
      <c r="N53" s="46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8"/>
    </row>
    <row r="54" spans="1:26" x14ac:dyDescent="0.35">
      <c r="A54" s="8"/>
      <c r="B54" s="26">
        <v>100</v>
      </c>
      <c r="C54" s="7"/>
      <c r="D54" s="7"/>
      <c r="E54" s="7"/>
      <c r="F54" s="7"/>
      <c r="G54" s="7"/>
      <c r="H54" s="9"/>
      <c r="I54" s="34"/>
      <c r="J54" s="34"/>
      <c r="K54" s="34"/>
      <c r="L54" s="34"/>
      <c r="M54" s="34"/>
      <c r="N54" s="46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07E1-28E6-42BD-BC97-8D2B6DD25F92}">
  <sheetPr codeName="Sheet30">
    <tabColor rgb="FFC00000"/>
  </sheetPr>
  <dimension ref="A1:H2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10" customWidth="1"/>
    <col min="7" max="7" width="60.625" style="10" customWidth="1"/>
    <col min="8" max="8" width="50.625" style="10" customWidth="1"/>
    <col min="9" max="16384" width="10.625" style="10"/>
  </cols>
  <sheetData>
    <row r="1" spans="1:8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40</v>
      </c>
      <c r="F1" s="5" t="s">
        <v>40</v>
      </c>
      <c r="G1" s="5" t="s">
        <v>40</v>
      </c>
      <c r="H1" s="6" t="s">
        <v>74</v>
      </c>
    </row>
    <row r="2" spans="1:8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226</v>
      </c>
      <c r="F2" s="2" t="s">
        <v>76</v>
      </c>
      <c r="G2" s="2" t="s">
        <v>159</v>
      </c>
      <c r="H2" s="3" t="s">
        <v>74</v>
      </c>
    </row>
    <row r="3" spans="1:8" x14ac:dyDescent="0.35">
      <c r="A3" s="24" t="s">
        <v>9</v>
      </c>
      <c r="B3" s="25" t="s">
        <v>31</v>
      </c>
      <c r="C3" s="26" t="s">
        <v>2811</v>
      </c>
      <c r="D3" s="26" t="s">
        <v>149</v>
      </c>
      <c r="E3" s="26" t="s">
        <v>2812</v>
      </c>
      <c r="F3" s="26" t="s">
        <v>2813</v>
      </c>
      <c r="G3" s="26" t="s">
        <v>2814</v>
      </c>
      <c r="H3" s="25" t="s">
        <v>80</v>
      </c>
    </row>
    <row r="4" spans="1:8" x14ac:dyDescent="0.35">
      <c r="A4" s="27" t="s">
        <v>104</v>
      </c>
      <c r="B4" s="27"/>
      <c r="C4" s="27" t="s">
        <v>2815</v>
      </c>
      <c r="D4" s="27" t="s">
        <v>2816</v>
      </c>
      <c r="E4" s="27" t="s">
        <v>2817</v>
      </c>
      <c r="F4" s="27" t="s">
        <v>2818</v>
      </c>
      <c r="G4" s="27" t="s">
        <v>2819</v>
      </c>
      <c r="H4" s="27" t="s">
        <v>128</v>
      </c>
    </row>
    <row r="5" spans="1:8" x14ac:dyDescent="0.35">
      <c r="A5" s="28"/>
      <c r="B5" s="26">
        <v>100</v>
      </c>
      <c r="C5" s="26">
        <v>40000001</v>
      </c>
      <c r="D5" s="26" t="s">
        <v>2823</v>
      </c>
      <c r="E5" s="26" t="s">
        <v>2820</v>
      </c>
      <c r="F5" s="26" t="s">
        <v>2826</v>
      </c>
      <c r="G5" s="29" t="s">
        <v>2829</v>
      </c>
      <c r="H5" s="28"/>
    </row>
    <row r="6" spans="1:8" x14ac:dyDescent="0.35">
      <c r="A6" s="28"/>
      <c r="B6" s="26">
        <v>100</v>
      </c>
      <c r="C6" s="26">
        <v>40000002</v>
      </c>
      <c r="D6" s="26" t="s">
        <v>2824</v>
      </c>
      <c r="E6" s="26" t="s">
        <v>2821</v>
      </c>
      <c r="F6" s="26" t="s">
        <v>2827</v>
      </c>
      <c r="G6" s="29" t="s">
        <v>2830</v>
      </c>
      <c r="H6" s="28"/>
    </row>
    <row r="7" spans="1:8" x14ac:dyDescent="0.35">
      <c r="A7" s="28"/>
      <c r="B7" s="26">
        <v>100</v>
      </c>
      <c r="C7" s="26">
        <v>40000003</v>
      </c>
      <c r="D7" s="26" t="s">
        <v>2825</v>
      </c>
      <c r="E7" s="26" t="s">
        <v>2822</v>
      </c>
      <c r="F7" s="26" t="s">
        <v>2828</v>
      </c>
      <c r="G7" s="29" t="s">
        <v>2831</v>
      </c>
      <c r="H7" s="28"/>
    </row>
    <row r="8" spans="1:8" x14ac:dyDescent="0.35">
      <c r="A8" s="28"/>
      <c r="B8" s="26">
        <v>100</v>
      </c>
      <c r="C8" s="26"/>
      <c r="D8" s="26"/>
      <c r="E8" s="26"/>
      <c r="F8" s="26"/>
      <c r="G8" s="29"/>
      <c r="H8" s="28"/>
    </row>
    <row r="9" spans="1:8" x14ac:dyDescent="0.35">
      <c r="A9" s="28"/>
      <c r="B9" s="26">
        <v>100</v>
      </c>
      <c r="C9" s="26"/>
      <c r="D9" s="26"/>
      <c r="E9" s="26"/>
      <c r="F9" s="26"/>
      <c r="G9" s="29"/>
      <c r="H9" s="28"/>
    </row>
    <row r="10" spans="1:8" x14ac:dyDescent="0.35">
      <c r="A10" s="28"/>
      <c r="B10" s="26">
        <v>100</v>
      </c>
      <c r="C10" s="26"/>
      <c r="D10" s="26"/>
      <c r="E10" s="26"/>
      <c r="F10" s="26"/>
      <c r="G10" s="29"/>
      <c r="H10" s="28"/>
    </row>
    <row r="11" spans="1:8" x14ac:dyDescent="0.35">
      <c r="A11" s="8"/>
      <c r="B11" s="26">
        <v>100</v>
      </c>
      <c r="C11" s="7"/>
      <c r="D11" s="7"/>
      <c r="E11" s="7"/>
      <c r="F11" s="7"/>
      <c r="G11" s="9"/>
      <c r="H11" s="8"/>
    </row>
    <row r="12" spans="1:8" x14ac:dyDescent="0.35">
      <c r="A12" s="8"/>
      <c r="B12" s="26">
        <v>100</v>
      </c>
      <c r="C12" s="7"/>
      <c r="D12" s="7"/>
      <c r="E12" s="7"/>
      <c r="F12" s="7"/>
      <c r="G12" s="9"/>
      <c r="H12" s="8"/>
    </row>
    <row r="13" spans="1:8" x14ac:dyDescent="0.35">
      <c r="A13" s="8"/>
      <c r="B13" s="26">
        <v>100</v>
      </c>
      <c r="C13" s="7"/>
      <c r="D13" s="7"/>
      <c r="E13" s="7"/>
      <c r="F13" s="7"/>
      <c r="G13" s="9"/>
      <c r="H13" s="8"/>
    </row>
    <row r="14" spans="1:8" x14ac:dyDescent="0.35">
      <c r="A14" s="8"/>
      <c r="B14" s="26">
        <v>100</v>
      </c>
      <c r="C14" s="7"/>
      <c r="D14" s="7"/>
      <c r="E14" s="7"/>
      <c r="F14" s="7"/>
      <c r="G14" s="9"/>
      <c r="H14" s="8"/>
    </row>
    <row r="15" spans="1:8" x14ac:dyDescent="0.35">
      <c r="A15" s="8"/>
      <c r="B15" s="26">
        <v>100</v>
      </c>
      <c r="C15" s="7"/>
      <c r="D15" s="7"/>
      <c r="E15" s="7"/>
      <c r="F15" s="7"/>
      <c r="G15" s="9"/>
      <c r="H15" s="8"/>
    </row>
    <row r="16" spans="1:8" x14ac:dyDescent="0.35">
      <c r="A16" s="8"/>
      <c r="B16" s="26">
        <v>100</v>
      </c>
      <c r="C16" s="7"/>
      <c r="D16" s="7"/>
      <c r="E16" s="7"/>
      <c r="F16" s="7"/>
      <c r="G16" s="9"/>
      <c r="H16" s="8"/>
    </row>
    <row r="17" spans="1:8" x14ac:dyDescent="0.35">
      <c r="A17" s="8"/>
      <c r="B17" s="26">
        <v>100</v>
      </c>
      <c r="C17" s="7"/>
      <c r="D17" s="7"/>
      <c r="E17" s="7"/>
      <c r="F17" s="7"/>
      <c r="G17" s="9"/>
      <c r="H17" s="8"/>
    </row>
    <row r="18" spans="1:8" x14ac:dyDescent="0.35">
      <c r="A18" s="8"/>
      <c r="B18" s="26">
        <v>100</v>
      </c>
      <c r="C18" s="7"/>
      <c r="D18" s="7"/>
      <c r="E18" s="7"/>
      <c r="F18" s="7"/>
      <c r="G18" s="9"/>
      <c r="H18" s="8"/>
    </row>
    <row r="19" spans="1:8" x14ac:dyDescent="0.35">
      <c r="A19" s="8"/>
      <c r="B19" s="26">
        <v>100</v>
      </c>
      <c r="C19" s="7"/>
      <c r="D19" s="7"/>
      <c r="E19" s="7"/>
      <c r="F19" s="7"/>
      <c r="G19" s="9"/>
      <c r="H19" s="8"/>
    </row>
    <row r="20" spans="1:8" x14ac:dyDescent="0.35">
      <c r="A20" s="8"/>
      <c r="B20" s="26">
        <v>100</v>
      </c>
      <c r="C20" s="7"/>
      <c r="D20" s="7"/>
      <c r="E20" s="7"/>
      <c r="F20" s="7"/>
      <c r="G20" s="9"/>
      <c r="H2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4A944-72E3-4D58-87B8-E7492BE03BFD}">
  <sheetPr codeName="Sheet31">
    <tabColor rgb="FFC00000"/>
  </sheetPr>
  <dimension ref="A1:T65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8" width="15.625" style="10" customWidth="1"/>
    <col min="9" max="11" width="30.625" style="10" customWidth="1"/>
    <col min="12" max="13" width="40.625" style="10" customWidth="1"/>
    <col min="14" max="15" width="20.625" style="10" customWidth="1"/>
    <col min="16" max="17" width="15.625" style="10" customWidth="1"/>
    <col min="18" max="18" width="50.625" style="10" customWidth="1"/>
    <col min="19" max="19" width="15.625" style="10" customWidth="1"/>
    <col min="20" max="20" width="50.625" style="10" customWidth="1"/>
    <col min="21" max="16384" width="10.625" style="10"/>
  </cols>
  <sheetData>
    <row r="1" spans="1:20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38</v>
      </c>
      <c r="G1" s="5" t="s">
        <v>38</v>
      </c>
      <c r="H1" s="5" t="s">
        <v>40</v>
      </c>
      <c r="I1" s="5" t="s">
        <v>40</v>
      </c>
      <c r="J1" s="5" t="s">
        <v>55</v>
      </c>
      <c r="K1" s="4" t="s">
        <v>74</v>
      </c>
      <c r="L1" s="5" t="s">
        <v>2916</v>
      </c>
      <c r="M1" s="4" t="s">
        <v>2906</v>
      </c>
      <c r="N1" s="5" t="s">
        <v>38</v>
      </c>
      <c r="O1" s="5" t="s">
        <v>38</v>
      </c>
      <c r="P1" s="5" t="s">
        <v>38</v>
      </c>
      <c r="Q1" s="5" t="s">
        <v>38</v>
      </c>
      <c r="R1" s="5" t="s">
        <v>3147</v>
      </c>
      <c r="S1" s="5" t="s">
        <v>38</v>
      </c>
      <c r="T1" s="6" t="s">
        <v>74</v>
      </c>
    </row>
    <row r="2" spans="1:20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350</v>
      </c>
      <c r="G2" s="2" t="s">
        <v>2832</v>
      </c>
      <c r="H2" s="2" t="s">
        <v>76</v>
      </c>
      <c r="I2" s="2" t="s">
        <v>159</v>
      </c>
      <c r="J2" s="2" t="s">
        <v>2833</v>
      </c>
      <c r="K2" s="1" t="s">
        <v>2906</v>
      </c>
      <c r="L2" s="2" t="s">
        <v>2834</v>
      </c>
      <c r="M2" s="1" t="s">
        <v>2906</v>
      </c>
      <c r="N2" s="2" t="s">
        <v>2835</v>
      </c>
      <c r="O2" s="2" t="s">
        <v>2836</v>
      </c>
      <c r="P2" s="2" t="s">
        <v>2837</v>
      </c>
      <c r="Q2" s="2" t="s">
        <v>2838</v>
      </c>
      <c r="R2" s="2" t="s">
        <v>2839</v>
      </c>
      <c r="S2" s="2" t="s">
        <v>2840</v>
      </c>
      <c r="T2" s="3" t="s">
        <v>74</v>
      </c>
    </row>
    <row r="3" spans="1:20" x14ac:dyDescent="0.35">
      <c r="A3" s="24" t="s">
        <v>9</v>
      </c>
      <c r="B3" s="25" t="s">
        <v>31</v>
      </c>
      <c r="C3" s="26" t="s">
        <v>2841</v>
      </c>
      <c r="D3" s="26" t="s">
        <v>149</v>
      </c>
      <c r="E3" s="26" t="s">
        <v>2842</v>
      </c>
      <c r="F3" s="26" t="s">
        <v>2843</v>
      </c>
      <c r="G3" s="26" t="s">
        <v>2844</v>
      </c>
      <c r="H3" s="26" t="s">
        <v>2845</v>
      </c>
      <c r="I3" s="26" t="s">
        <v>2846</v>
      </c>
      <c r="J3" s="26" t="s">
        <v>2847</v>
      </c>
      <c r="K3" s="25" t="s">
        <v>2907</v>
      </c>
      <c r="L3" s="26" t="s">
        <v>2848</v>
      </c>
      <c r="M3" s="55" t="s">
        <v>2914</v>
      </c>
      <c r="N3" s="26" t="s">
        <v>2849</v>
      </c>
      <c r="O3" s="26" t="s">
        <v>2850</v>
      </c>
      <c r="P3" s="26" t="s">
        <v>2851</v>
      </c>
      <c r="Q3" s="26" t="s">
        <v>2852</v>
      </c>
      <c r="R3" s="26" t="s">
        <v>2853</v>
      </c>
      <c r="S3" s="26" t="s">
        <v>2854</v>
      </c>
      <c r="T3" s="25" t="s">
        <v>80</v>
      </c>
    </row>
    <row r="4" spans="1:20" x14ac:dyDescent="0.35">
      <c r="A4" s="27" t="s">
        <v>104</v>
      </c>
      <c r="B4" s="27"/>
      <c r="C4" s="27" t="s">
        <v>2855</v>
      </c>
      <c r="D4" s="27" t="s">
        <v>2856</v>
      </c>
      <c r="E4" s="27" t="s">
        <v>2951</v>
      </c>
      <c r="F4" s="27" t="s">
        <v>2979</v>
      </c>
      <c r="G4" s="27" t="s">
        <v>2857</v>
      </c>
      <c r="H4" s="27" t="s">
        <v>2858</v>
      </c>
      <c r="I4" s="27" t="s">
        <v>2859</v>
      </c>
      <c r="J4" s="30" t="s">
        <v>2860</v>
      </c>
      <c r="K4" s="53"/>
      <c r="L4" s="30" t="s">
        <v>2917</v>
      </c>
      <c r="M4" s="53"/>
      <c r="N4" s="27" t="s">
        <v>2861</v>
      </c>
      <c r="O4" s="27" t="s">
        <v>2862</v>
      </c>
      <c r="P4" s="27" t="s">
        <v>2863</v>
      </c>
      <c r="Q4" s="27" t="s">
        <v>2864</v>
      </c>
      <c r="R4" s="30" t="s">
        <v>2865</v>
      </c>
      <c r="S4" s="27" t="s">
        <v>2866</v>
      </c>
      <c r="T4" s="27" t="s">
        <v>128</v>
      </c>
    </row>
    <row r="5" spans="1:20" x14ac:dyDescent="0.35">
      <c r="A5" s="28"/>
      <c r="B5" s="26">
        <v>100</v>
      </c>
      <c r="C5" s="26">
        <v>40101001</v>
      </c>
      <c r="D5" s="26"/>
      <c r="E5" s="26">
        <v>1</v>
      </c>
      <c r="F5" s="26"/>
      <c r="G5" s="26"/>
      <c r="H5" s="26" t="s">
        <v>2898</v>
      </c>
      <c r="I5" s="29" t="s">
        <v>2899</v>
      </c>
      <c r="J5" s="33"/>
      <c r="K5" s="54"/>
      <c r="L5" s="33" t="s">
        <v>2918</v>
      </c>
      <c r="M5" s="54" t="s">
        <v>2915</v>
      </c>
      <c r="N5" s="26"/>
      <c r="O5" s="26"/>
      <c r="P5" s="26">
        <v>41001001</v>
      </c>
      <c r="Q5" s="26"/>
      <c r="R5" s="33" t="s">
        <v>1365</v>
      </c>
      <c r="S5" s="26"/>
      <c r="T5" s="28" t="s">
        <v>2952</v>
      </c>
    </row>
    <row r="6" spans="1:20" x14ac:dyDescent="0.35">
      <c r="A6" s="28"/>
      <c r="B6" s="26">
        <v>100</v>
      </c>
      <c r="C6" s="26">
        <v>40101002</v>
      </c>
      <c r="D6" s="26"/>
      <c r="E6" s="26">
        <v>1</v>
      </c>
      <c r="F6" s="26"/>
      <c r="G6" s="26"/>
      <c r="H6" s="26" t="s">
        <v>3827</v>
      </c>
      <c r="I6" s="29" t="s">
        <v>3828</v>
      </c>
      <c r="J6" s="33" t="s">
        <v>2900</v>
      </c>
      <c r="K6" s="54" t="s">
        <v>2908</v>
      </c>
      <c r="L6" s="33" t="s">
        <v>2919</v>
      </c>
      <c r="M6" s="54" t="s">
        <v>2940</v>
      </c>
      <c r="N6" s="26"/>
      <c r="O6" s="26"/>
      <c r="P6" s="26">
        <v>41001002</v>
      </c>
      <c r="Q6" s="26"/>
      <c r="R6" s="33" t="s">
        <v>2976</v>
      </c>
      <c r="S6" s="26"/>
      <c r="T6" s="28" t="s">
        <v>3853</v>
      </c>
    </row>
    <row r="7" spans="1:20" x14ac:dyDescent="0.35">
      <c r="A7" s="28"/>
      <c r="B7" s="26">
        <v>100</v>
      </c>
      <c r="C7" s="26">
        <v>40101003</v>
      </c>
      <c r="D7" s="26"/>
      <c r="E7" s="26">
        <v>1</v>
      </c>
      <c r="F7" s="26"/>
      <c r="G7" s="26"/>
      <c r="H7" s="26" t="s">
        <v>2920</v>
      </c>
      <c r="I7" s="29" t="s">
        <v>2921</v>
      </c>
      <c r="J7" s="33" t="s">
        <v>2901</v>
      </c>
      <c r="K7" s="54" t="s">
        <v>2909</v>
      </c>
      <c r="L7" s="33" t="s">
        <v>3783</v>
      </c>
      <c r="M7" s="54" t="s">
        <v>2941</v>
      </c>
      <c r="N7" s="26"/>
      <c r="O7" s="26"/>
      <c r="P7" s="26">
        <v>41001003</v>
      </c>
      <c r="Q7" s="26"/>
      <c r="R7" s="33" t="s">
        <v>3104</v>
      </c>
      <c r="S7" s="26"/>
      <c r="T7" s="28" t="s">
        <v>3854</v>
      </c>
    </row>
    <row r="8" spans="1:20" x14ac:dyDescent="0.35">
      <c r="A8" s="28"/>
      <c r="B8" s="26">
        <v>100</v>
      </c>
      <c r="C8" s="26">
        <v>40101004</v>
      </c>
      <c r="D8" s="26"/>
      <c r="E8" s="26">
        <v>1</v>
      </c>
      <c r="F8" s="26"/>
      <c r="G8" s="26"/>
      <c r="H8" s="26" t="s">
        <v>1144</v>
      </c>
      <c r="I8" s="29" t="s">
        <v>2922</v>
      </c>
      <c r="J8" s="33" t="s">
        <v>2902</v>
      </c>
      <c r="K8" s="54" t="s">
        <v>2910</v>
      </c>
      <c r="L8" s="33" t="s">
        <v>3329</v>
      </c>
      <c r="M8" s="54" t="s">
        <v>2942</v>
      </c>
      <c r="N8" s="26"/>
      <c r="O8" s="26"/>
      <c r="P8" s="26">
        <v>41001004</v>
      </c>
      <c r="Q8" s="26"/>
      <c r="R8" s="33" t="s">
        <v>3105</v>
      </c>
      <c r="S8" s="26"/>
      <c r="T8" s="28" t="s">
        <v>3855</v>
      </c>
    </row>
    <row r="9" spans="1:20" x14ac:dyDescent="0.35">
      <c r="A9" s="28"/>
      <c r="B9" s="26">
        <v>100</v>
      </c>
      <c r="C9" s="26">
        <v>40101005</v>
      </c>
      <c r="D9" s="26"/>
      <c r="E9" s="26">
        <v>1</v>
      </c>
      <c r="F9" s="26"/>
      <c r="G9" s="26"/>
      <c r="H9" s="26" t="s">
        <v>2923</v>
      </c>
      <c r="I9" s="29" t="s">
        <v>2924</v>
      </c>
      <c r="J9" s="33" t="s">
        <v>2903</v>
      </c>
      <c r="K9" s="54" t="s">
        <v>2911</v>
      </c>
      <c r="L9" s="33" t="s">
        <v>2926</v>
      </c>
      <c r="M9" s="54" t="s">
        <v>2943</v>
      </c>
      <c r="N9" s="26"/>
      <c r="O9" s="26"/>
      <c r="P9" s="26">
        <v>41001005</v>
      </c>
      <c r="Q9" s="26"/>
      <c r="R9" s="33" t="s">
        <v>3105</v>
      </c>
      <c r="S9" s="26"/>
      <c r="T9" s="28" t="s">
        <v>3856</v>
      </c>
    </row>
    <row r="10" spans="1:20" x14ac:dyDescent="0.35">
      <c r="A10" s="38"/>
      <c r="B10" s="26">
        <v>100</v>
      </c>
      <c r="C10" s="26">
        <v>40101006</v>
      </c>
      <c r="D10" s="39"/>
      <c r="E10" s="26">
        <v>1</v>
      </c>
      <c r="F10" s="39"/>
      <c r="G10" s="39"/>
      <c r="H10" s="39" t="s">
        <v>3809</v>
      </c>
      <c r="I10" s="40" t="s">
        <v>3810</v>
      </c>
      <c r="J10" s="33" t="s">
        <v>3760</v>
      </c>
      <c r="K10" s="54" t="s">
        <v>3789</v>
      </c>
      <c r="L10" s="41" t="s">
        <v>3804</v>
      </c>
      <c r="M10" s="54" t="s">
        <v>2942</v>
      </c>
      <c r="N10" s="39"/>
      <c r="O10" s="39"/>
      <c r="P10" s="26">
        <v>41001006</v>
      </c>
      <c r="Q10" s="39"/>
      <c r="R10" s="33" t="s">
        <v>3105</v>
      </c>
      <c r="S10" s="39"/>
      <c r="T10" s="38" t="s">
        <v>3845</v>
      </c>
    </row>
    <row r="11" spans="1:20" x14ac:dyDescent="0.35">
      <c r="A11" s="38"/>
      <c r="B11" s="26">
        <v>100</v>
      </c>
      <c r="C11" s="26">
        <v>40101007</v>
      </c>
      <c r="D11" s="39"/>
      <c r="E11" s="26">
        <v>1</v>
      </c>
      <c r="F11" s="39"/>
      <c r="G11" s="39"/>
      <c r="H11" s="39" t="s">
        <v>3806</v>
      </c>
      <c r="I11" s="40" t="s">
        <v>3807</v>
      </c>
      <c r="J11" s="33" t="s">
        <v>3761</v>
      </c>
      <c r="K11" s="54" t="s">
        <v>3790</v>
      </c>
      <c r="L11" s="41" t="s">
        <v>3808</v>
      </c>
      <c r="M11" s="54" t="s">
        <v>2942</v>
      </c>
      <c r="N11" s="39"/>
      <c r="O11" s="39"/>
      <c r="P11" s="26">
        <v>41001007</v>
      </c>
      <c r="Q11" s="39"/>
      <c r="R11" s="33" t="s">
        <v>3105</v>
      </c>
      <c r="S11" s="39"/>
      <c r="T11" s="38" t="s">
        <v>3846</v>
      </c>
    </row>
    <row r="12" spans="1:20" x14ac:dyDescent="0.35">
      <c r="A12" s="38"/>
      <c r="B12" s="26">
        <v>100</v>
      </c>
      <c r="C12" s="26">
        <v>40101008</v>
      </c>
      <c r="D12" s="39"/>
      <c r="E12" s="26">
        <v>1</v>
      </c>
      <c r="F12" s="39"/>
      <c r="G12" s="39"/>
      <c r="H12" s="39" t="s">
        <v>3805</v>
      </c>
      <c r="I12" s="40" t="s">
        <v>3811</v>
      </c>
      <c r="J12" s="33" t="s">
        <v>3762</v>
      </c>
      <c r="K12" s="54" t="s">
        <v>3791</v>
      </c>
      <c r="L12" s="41" t="s">
        <v>3812</v>
      </c>
      <c r="M12" s="54" t="s">
        <v>3813</v>
      </c>
      <c r="N12" s="39"/>
      <c r="O12" s="39"/>
      <c r="P12" s="26">
        <v>41001008</v>
      </c>
      <c r="Q12" s="39"/>
      <c r="R12" s="33" t="s">
        <v>3105</v>
      </c>
      <c r="S12" s="39"/>
      <c r="T12" s="38" t="s">
        <v>3847</v>
      </c>
    </row>
    <row r="13" spans="1:20" x14ac:dyDescent="0.35">
      <c r="A13" s="38"/>
      <c r="B13" s="26">
        <v>100</v>
      </c>
      <c r="C13" s="26">
        <v>40101009</v>
      </c>
      <c r="D13" s="39"/>
      <c r="E13" s="26">
        <v>1</v>
      </c>
      <c r="F13" s="39"/>
      <c r="G13" s="39"/>
      <c r="H13" s="39" t="s">
        <v>3814</v>
      </c>
      <c r="I13" s="40" t="s">
        <v>3835</v>
      </c>
      <c r="J13" s="33" t="s">
        <v>3763</v>
      </c>
      <c r="K13" s="54" t="s">
        <v>3792</v>
      </c>
      <c r="L13" s="41" t="s">
        <v>3820</v>
      </c>
      <c r="M13" s="54" t="s">
        <v>2942</v>
      </c>
      <c r="N13" s="39"/>
      <c r="O13" s="39"/>
      <c r="P13" s="26">
        <v>41001009</v>
      </c>
      <c r="Q13" s="39"/>
      <c r="R13" s="33" t="s">
        <v>3105</v>
      </c>
      <c r="S13" s="39"/>
      <c r="T13" s="38" t="s">
        <v>3848</v>
      </c>
    </row>
    <row r="14" spans="1:20" x14ac:dyDescent="0.35">
      <c r="A14" s="38"/>
      <c r="B14" s="26">
        <v>100</v>
      </c>
      <c r="C14" s="26">
        <v>40101010</v>
      </c>
      <c r="D14" s="39"/>
      <c r="E14" s="26">
        <v>1</v>
      </c>
      <c r="F14" s="39"/>
      <c r="G14" s="39"/>
      <c r="H14" s="39" t="s">
        <v>3816</v>
      </c>
      <c r="I14" s="40" t="s">
        <v>3817</v>
      </c>
      <c r="J14" s="33" t="s">
        <v>3764</v>
      </c>
      <c r="K14" s="54" t="s">
        <v>3793</v>
      </c>
      <c r="L14" s="41" t="s">
        <v>3818</v>
      </c>
      <c r="M14" s="54" t="s">
        <v>3819</v>
      </c>
      <c r="N14" s="39"/>
      <c r="O14" s="39"/>
      <c r="P14" s="26">
        <v>41001010</v>
      </c>
      <c r="Q14" s="39"/>
      <c r="R14" s="33" t="s">
        <v>3105</v>
      </c>
      <c r="S14" s="39"/>
      <c r="T14" s="38" t="s">
        <v>3849</v>
      </c>
    </row>
    <row r="15" spans="1:20" x14ac:dyDescent="0.35">
      <c r="A15" s="38"/>
      <c r="B15" s="26">
        <v>100</v>
      </c>
      <c r="C15" s="26">
        <v>40101011</v>
      </c>
      <c r="D15" s="39"/>
      <c r="E15" s="26">
        <v>1</v>
      </c>
      <c r="F15" s="39"/>
      <c r="G15" s="39"/>
      <c r="H15" s="39" t="s">
        <v>3815</v>
      </c>
      <c r="I15" s="40" t="s">
        <v>3836</v>
      </c>
      <c r="J15" s="33" t="s">
        <v>3765</v>
      </c>
      <c r="K15" s="54" t="s">
        <v>3794</v>
      </c>
      <c r="L15" s="41" t="s">
        <v>3821</v>
      </c>
      <c r="M15" s="54" t="s">
        <v>3822</v>
      </c>
      <c r="N15" s="39"/>
      <c r="O15" s="39"/>
      <c r="P15" s="26">
        <v>41001011</v>
      </c>
      <c r="Q15" s="39"/>
      <c r="R15" s="33" t="s">
        <v>3105</v>
      </c>
      <c r="S15" s="39"/>
      <c r="T15" s="38" t="s">
        <v>3850</v>
      </c>
    </row>
    <row r="16" spans="1:20" x14ac:dyDescent="0.35">
      <c r="A16" s="38"/>
      <c r="B16" s="26">
        <v>100</v>
      </c>
      <c r="C16" s="26">
        <v>40101012</v>
      </c>
      <c r="D16" s="39"/>
      <c r="E16" s="26">
        <v>1</v>
      </c>
      <c r="F16" s="39"/>
      <c r="G16" s="39"/>
      <c r="H16" s="39" t="s">
        <v>3826</v>
      </c>
      <c r="I16" s="40" t="s">
        <v>3823</v>
      </c>
      <c r="J16" s="33" t="s">
        <v>3766</v>
      </c>
      <c r="K16" s="54" t="s">
        <v>3795</v>
      </c>
      <c r="L16" s="41" t="s">
        <v>3824</v>
      </c>
      <c r="M16" s="54" t="s">
        <v>3825</v>
      </c>
      <c r="N16" s="39"/>
      <c r="O16" s="39"/>
      <c r="P16" s="26">
        <v>41001012</v>
      </c>
      <c r="Q16" s="39"/>
      <c r="R16" s="33" t="s">
        <v>3105</v>
      </c>
      <c r="S16" s="39"/>
      <c r="T16" s="38" t="s">
        <v>3851</v>
      </c>
    </row>
    <row r="17" spans="1:20" x14ac:dyDescent="0.35">
      <c r="A17" s="38"/>
      <c r="B17" s="26">
        <v>100</v>
      </c>
      <c r="C17" s="26">
        <v>40101013</v>
      </c>
      <c r="D17" s="39"/>
      <c r="E17" s="26">
        <v>1</v>
      </c>
      <c r="F17" s="39"/>
      <c r="G17" s="39"/>
      <c r="H17" s="39" t="s">
        <v>3829</v>
      </c>
      <c r="I17" s="40" t="s">
        <v>3830</v>
      </c>
      <c r="J17" s="33" t="s">
        <v>3767</v>
      </c>
      <c r="K17" s="54" t="s">
        <v>3796</v>
      </c>
      <c r="L17" s="33" t="s">
        <v>3831</v>
      </c>
      <c r="M17" s="54" t="s">
        <v>3832</v>
      </c>
      <c r="N17" s="39"/>
      <c r="O17" s="39"/>
      <c r="P17" s="26">
        <v>41001013</v>
      </c>
      <c r="Q17" s="39"/>
      <c r="R17" s="33" t="s">
        <v>3105</v>
      </c>
      <c r="S17" s="39"/>
      <c r="T17" s="38" t="s">
        <v>3852</v>
      </c>
    </row>
    <row r="18" spans="1:20" x14ac:dyDescent="0.35">
      <c r="A18" s="38"/>
      <c r="B18" s="26">
        <v>100</v>
      </c>
      <c r="C18" s="26">
        <v>40101014</v>
      </c>
      <c r="D18" s="39"/>
      <c r="E18" s="26">
        <v>1</v>
      </c>
      <c r="F18" s="39"/>
      <c r="G18" s="39"/>
      <c r="H18" s="39" t="s">
        <v>3837</v>
      </c>
      <c r="I18" s="40" t="s">
        <v>3838</v>
      </c>
      <c r="J18" s="33" t="s">
        <v>3768</v>
      </c>
      <c r="K18" s="54" t="s">
        <v>3797</v>
      </c>
      <c r="L18" s="41" t="s">
        <v>3839</v>
      </c>
      <c r="M18" s="54" t="s">
        <v>3844</v>
      </c>
      <c r="N18" s="39"/>
      <c r="O18" s="39"/>
      <c r="P18" s="26">
        <v>41001014</v>
      </c>
      <c r="Q18" s="39"/>
      <c r="R18" s="33" t="s">
        <v>3105</v>
      </c>
      <c r="S18" s="39"/>
      <c r="T18" s="38" t="s">
        <v>3857</v>
      </c>
    </row>
    <row r="19" spans="1:20" x14ac:dyDescent="0.35">
      <c r="A19" s="38"/>
      <c r="B19" s="26">
        <v>100</v>
      </c>
      <c r="C19" s="26">
        <v>40101015</v>
      </c>
      <c r="D19" s="39"/>
      <c r="E19" s="26">
        <v>1</v>
      </c>
      <c r="F19" s="39"/>
      <c r="G19" s="39"/>
      <c r="H19" s="39" t="s">
        <v>3833</v>
      </c>
      <c r="I19" s="40" t="s">
        <v>3834</v>
      </c>
      <c r="J19" s="33" t="s">
        <v>3769</v>
      </c>
      <c r="K19" s="54" t="s">
        <v>3798</v>
      </c>
      <c r="L19" s="41" t="s">
        <v>3840</v>
      </c>
      <c r="M19" s="54" t="s">
        <v>2942</v>
      </c>
      <c r="N19" s="39"/>
      <c r="O19" s="39"/>
      <c r="P19" s="26">
        <v>41001015</v>
      </c>
      <c r="Q19" s="39"/>
      <c r="R19" s="33" t="s">
        <v>3105</v>
      </c>
      <c r="S19" s="39"/>
      <c r="T19" s="38" t="s">
        <v>3858</v>
      </c>
    </row>
    <row r="20" spans="1:20" x14ac:dyDescent="0.35">
      <c r="A20" s="38"/>
      <c r="B20" s="26">
        <v>100</v>
      </c>
      <c r="C20" s="26">
        <v>40101016</v>
      </c>
      <c r="D20" s="39"/>
      <c r="E20" s="26">
        <v>1</v>
      </c>
      <c r="F20" s="39"/>
      <c r="G20" s="39"/>
      <c r="H20" s="39" t="s">
        <v>1585</v>
      </c>
      <c r="I20" s="40" t="s">
        <v>3841</v>
      </c>
      <c r="J20" s="33" t="s">
        <v>3770</v>
      </c>
      <c r="K20" s="54" t="s">
        <v>3799</v>
      </c>
      <c r="L20" s="41" t="s">
        <v>3842</v>
      </c>
      <c r="M20" s="54" t="s">
        <v>3843</v>
      </c>
      <c r="N20" s="39"/>
      <c r="O20" s="39"/>
      <c r="P20" s="26">
        <v>41001016</v>
      </c>
      <c r="Q20" s="39"/>
      <c r="R20" s="33" t="s">
        <v>3105</v>
      </c>
      <c r="S20" s="39"/>
      <c r="T20" s="38" t="s">
        <v>3859</v>
      </c>
    </row>
    <row r="21" spans="1:20" x14ac:dyDescent="0.35">
      <c r="A21" s="38" t="s">
        <v>104</v>
      </c>
      <c r="B21" s="26">
        <v>100</v>
      </c>
      <c r="C21" s="26">
        <v>40101017</v>
      </c>
      <c r="D21" s="39"/>
      <c r="E21" s="26">
        <v>1</v>
      </c>
      <c r="F21" s="39"/>
      <c r="G21" s="39"/>
      <c r="H21" s="39"/>
      <c r="I21" s="40"/>
      <c r="J21" s="33" t="s">
        <v>3771</v>
      </c>
      <c r="K21" s="54" t="s">
        <v>3800</v>
      </c>
      <c r="L21" s="41"/>
      <c r="M21" s="54"/>
      <c r="N21" s="39"/>
      <c r="O21" s="39"/>
      <c r="P21" s="39"/>
      <c r="Q21" s="39"/>
      <c r="R21" s="41"/>
      <c r="S21" s="39"/>
      <c r="T21" s="38"/>
    </row>
    <row r="22" spans="1:20" x14ac:dyDescent="0.35">
      <c r="A22" s="38" t="s">
        <v>104</v>
      </c>
      <c r="B22" s="26">
        <v>100</v>
      </c>
      <c r="C22" s="26">
        <v>40101018</v>
      </c>
      <c r="D22" s="39"/>
      <c r="E22" s="26">
        <v>1</v>
      </c>
      <c r="F22" s="39"/>
      <c r="G22" s="39"/>
      <c r="H22" s="39"/>
      <c r="I22" s="40"/>
      <c r="J22" s="33" t="s">
        <v>3772</v>
      </c>
      <c r="K22" s="54" t="s">
        <v>3801</v>
      </c>
      <c r="L22" s="41"/>
      <c r="M22" s="54"/>
      <c r="N22" s="39"/>
      <c r="O22" s="39"/>
      <c r="P22" s="39"/>
      <c r="Q22" s="39"/>
      <c r="R22" s="41"/>
      <c r="S22" s="39"/>
      <c r="T22" s="38"/>
    </row>
    <row r="23" spans="1:20" x14ac:dyDescent="0.35">
      <c r="A23" s="38" t="s">
        <v>104</v>
      </c>
      <c r="B23" s="26">
        <v>100</v>
      </c>
      <c r="C23" s="26">
        <v>40101019</v>
      </c>
      <c r="D23" s="39"/>
      <c r="E23" s="26">
        <v>1</v>
      </c>
      <c r="F23" s="39"/>
      <c r="G23" s="39"/>
      <c r="H23" s="39"/>
      <c r="I23" s="40"/>
      <c r="J23" s="33" t="s">
        <v>3773</v>
      </c>
      <c r="K23" s="54" t="s">
        <v>3802</v>
      </c>
      <c r="L23" s="41"/>
      <c r="M23" s="54"/>
      <c r="N23" s="39"/>
      <c r="O23" s="39"/>
      <c r="P23" s="39"/>
      <c r="Q23" s="39"/>
      <c r="R23" s="41"/>
      <c r="S23" s="39"/>
      <c r="T23" s="38"/>
    </row>
    <row r="24" spans="1:20" x14ac:dyDescent="0.35">
      <c r="A24" s="38" t="s">
        <v>104</v>
      </c>
      <c r="B24" s="26">
        <v>100</v>
      </c>
      <c r="C24" s="26">
        <v>40101020</v>
      </c>
      <c r="D24" s="39"/>
      <c r="E24" s="26">
        <v>1</v>
      </c>
      <c r="F24" s="39"/>
      <c r="G24" s="39"/>
      <c r="H24" s="39"/>
      <c r="I24" s="40"/>
      <c r="J24" s="33" t="s">
        <v>3774</v>
      </c>
      <c r="K24" s="54" t="s">
        <v>3803</v>
      </c>
      <c r="L24" s="41"/>
      <c r="M24" s="54"/>
      <c r="N24" s="39"/>
      <c r="O24" s="39"/>
      <c r="P24" s="39"/>
      <c r="Q24" s="39"/>
      <c r="R24" s="41"/>
      <c r="S24" s="39"/>
      <c r="T24" s="38"/>
    </row>
    <row r="25" spans="1:20" x14ac:dyDescent="0.35">
      <c r="A25" s="28"/>
      <c r="B25" s="26">
        <v>100</v>
      </c>
      <c r="C25" s="26">
        <v>40102001</v>
      </c>
      <c r="D25" s="26"/>
      <c r="E25" s="26">
        <v>2</v>
      </c>
      <c r="F25" s="26"/>
      <c r="G25" s="26"/>
      <c r="H25" s="26" t="s">
        <v>2939</v>
      </c>
      <c r="I25" s="29" t="s">
        <v>2927</v>
      </c>
      <c r="J25" s="33"/>
      <c r="K25" s="54"/>
      <c r="L25" s="33" t="s">
        <v>3330</v>
      </c>
      <c r="M25" s="54" t="s">
        <v>2944</v>
      </c>
      <c r="N25" s="26"/>
      <c r="O25" s="26"/>
      <c r="P25" s="26"/>
      <c r="Q25" s="26"/>
      <c r="R25" s="33" t="s">
        <v>2977</v>
      </c>
      <c r="S25" s="26"/>
      <c r="T25" s="28" t="s">
        <v>2953</v>
      </c>
    </row>
    <row r="26" spans="1:20" x14ac:dyDescent="0.35">
      <c r="A26" s="8"/>
      <c r="B26" s="26">
        <v>100</v>
      </c>
      <c r="C26" s="7">
        <v>40102002</v>
      </c>
      <c r="D26" s="7"/>
      <c r="E26" s="7">
        <v>2</v>
      </c>
      <c r="F26" s="7">
        <v>2</v>
      </c>
      <c r="G26" s="7"/>
      <c r="H26" s="7" t="s">
        <v>2928</v>
      </c>
      <c r="I26" s="9" t="s">
        <v>2929</v>
      </c>
      <c r="J26" s="34"/>
      <c r="K26" s="54"/>
      <c r="L26" s="34" t="s">
        <v>2975</v>
      </c>
      <c r="M26" s="54" t="s">
        <v>2945</v>
      </c>
      <c r="N26" s="7"/>
      <c r="O26" s="7"/>
      <c r="P26" s="7"/>
      <c r="Q26" s="7"/>
      <c r="R26" s="34" t="s">
        <v>3105</v>
      </c>
      <c r="S26" s="7"/>
      <c r="T26" s="8" t="s">
        <v>2954</v>
      </c>
    </row>
    <row r="27" spans="1:20" x14ac:dyDescent="0.35">
      <c r="A27" s="8"/>
      <c r="B27" s="26">
        <v>100</v>
      </c>
      <c r="C27" s="7">
        <v>40102003</v>
      </c>
      <c r="D27" s="7"/>
      <c r="E27" s="7">
        <v>2</v>
      </c>
      <c r="F27" s="7"/>
      <c r="G27" s="7"/>
      <c r="H27" s="7" t="s">
        <v>1679</v>
      </c>
      <c r="I27" s="9" t="s">
        <v>2950</v>
      </c>
      <c r="J27" s="34"/>
      <c r="K27" s="54"/>
      <c r="L27" s="34" t="s">
        <v>3146</v>
      </c>
      <c r="M27" s="54" t="s">
        <v>2958</v>
      </c>
      <c r="N27" s="7"/>
      <c r="O27" s="7"/>
      <c r="P27" s="7"/>
      <c r="Q27" s="7"/>
      <c r="R27" s="34" t="s">
        <v>3106</v>
      </c>
      <c r="S27" s="7"/>
      <c r="T27" s="8" t="s">
        <v>2957</v>
      </c>
    </row>
    <row r="28" spans="1:20" x14ac:dyDescent="0.35">
      <c r="A28" s="8"/>
      <c r="B28" s="26">
        <v>100</v>
      </c>
      <c r="C28" s="7">
        <v>40103001</v>
      </c>
      <c r="D28" s="7" t="s">
        <v>2971</v>
      </c>
      <c r="E28" s="7">
        <v>3</v>
      </c>
      <c r="F28" s="7">
        <v>3</v>
      </c>
      <c r="G28" s="7">
        <v>2</v>
      </c>
      <c r="H28" s="7" t="s">
        <v>2963</v>
      </c>
      <c r="I28" s="9" t="s">
        <v>2965</v>
      </c>
      <c r="J28" s="34" t="s">
        <v>2904</v>
      </c>
      <c r="K28" s="54" t="s">
        <v>2913</v>
      </c>
      <c r="L28" s="34" t="s">
        <v>2946</v>
      </c>
      <c r="M28" s="54" t="s">
        <v>2948</v>
      </c>
      <c r="N28" s="7">
        <v>120</v>
      </c>
      <c r="O28" s="7">
        <v>300</v>
      </c>
      <c r="P28" s="7"/>
      <c r="Q28" s="7"/>
      <c r="R28" s="34" t="s">
        <v>3107</v>
      </c>
      <c r="S28" s="7"/>
      <c r="T28" s="8" t="s">
        <v>2955</v>
      </c>
    </row>
    <row r="29" spans="1:20" x14ac:dyDescent="0.35">
      <c r="A29" s="8"/>
      <c r="B29" s="26">
        <v>100</v>
      </c>
      <c r="C29" s="7">
        <v>40103002</v>
      </c>
      <c r="D29" s="7" t="s">
        <v>2972</v>
      </c>
      <c r="E29" s="7">
        <v>3</v>
      </c>
      <c r="F29" s="7">
        <v>3</v>
      </c>
      <c r="G29" s="7">
        <v>3</v>
      </c>
      <c r="H29" s="7" t="s">
        <v>2964</v>
      </c>
      <c r="I29" s="9" t="s">
        <v>2966</v>
      </c>
      <c r="J29" s="34" t="s">
        <v>2905</v>
      </c>
      <c r="K29" s="54" t="s">
        <v>2912</v>
      </c>
      <c r="L29" s="34" t="s">
        <v>2947</v>
      </c>
      <c r="M29" s="54" t="s">
        <v>2949</v>
      </c>
      <c r="N29" s="7">
        <v>120</v>
      </c>
      <c r="O29" s="7">
        <v>300</v>
      </c>
      <c r="P29" s="7"/>
      <c r="Q29" s="7"/>
      <c r="R29" s="34" t="s">
        <v>3108</v>
      </c>
      <c r="S29" s="7"/>
      <c r="T29" s="8" t="s">
        <v>2956</v>
      </c>
    </row>
    <row r="30" spans="1:20" x14ac:dyDescent="0.35">
      <c r="A30" s="8"/>
      <c r="B30" s="26">
        <v>100</v>
      </c>
      <c r="C30" s="7">
        <v>40104001</v>
      </c>
      <c r="D30" s="7" t="s">
        <v>2973</v>
      </c>
      <c r="E30" s="7">
        <v>4</v>
      </c>
      <c r="F30" s="7">
        <v>4</v>
      </c>
      <c r="G30" s="7">
        <v>2</v>
      </c>
      <c r="H30" s="7" t="s">
        <v>2967</v>
      </c>
      <c r="I30" s="9" t="s">
        <v>2969</v>
      </c>
      <c r="J30" s="34" t="s">
        <v>3778</v>
      </c>
      <c r="K30" s="54" t="s">
        <v>3779</v>
      </c>
      <c r="L30" s="34" t="s">
        <v>3003</v>
      </c>
      <c r="M30" s="54" t="s">
        <v>2959</v>
      </c>
      <c r="N30" s="7">
        <v>120</v>
      </c>
      <c r="O30" s="7">
        <v>180</v>
      </c>
      <c r="P30" s="7"/>
      <c r="Q30" s="7"/>
      <c r="R30" s="34" t="s">
        <v>3109</v>
      </c>
      <c r="S30" s="7"/>
      <c r="T30" s="8" t="s">
        <v>2961</v>
      </c>
    </row>
    <row r="31" spans="1:20" x14ac:dyDescent="0.35">
      <c r="A31" s="8"/>
      <c r="B31" s="26">
        <v>100</v>
      </c>
      <c r="C31" s="7">
        <v>40104002</v>
      </c>
      <c r="D31" s="7" t="s">
        <v>2974</v>
      </c>
      <c r="E31" s="7">
        <v>4</v>
      </c>
      <c r="F31" s="7">
        <v>5</v>
      </c>
      <c r="G31" s="7">
        <v>2</v>
      </c>
      <c r="H31" s="7" t="s">
        <v>2968</v>
      </c>
      <c r="I31" s="9" t="s">
        <v>2970</v>
      </c>
      <c r="J31" s="34" t="s">
        <v>3780</v>
      </c>
      <c r="K31" s="54" t="s">
        <v>3781</v>
      </c>
      <c r="L31" s="34" t="s">
        <v>3004</v>
      </c>
      <c r="M31" s="54" t="s">
        <v>2960</v>
      </c>
      <c r="N31" s="7">
        <v>120</v>
      </c>
      <c r="O31" s="7">
        <v>300</v>
      </c>
      <c r="P31" s="7"/>
      <c r="Q31" s="7"/>
      <c r="R31" s="34" t="s">
        <v>3110</v>
      </c>
      <c r="S31" s="7"/>
      <c r="T31" s="8" t="s">
        <v>2962</v>
      </c>
    </row>
    <row r="32" spans="1:20" x14ac:dyDescent="0.35">
      <c r="A32" s="8"/>
      <c r="B32" s="26">
        <v>100</v>
      </c>
      <c r="C32" s="7"/>
      <c r="D32" s="7"/>
      <c r="E32" s="7"/>
      <c r="F32" s="7"/>
      <c r="G32" s="7"/>
      <c r="H32" s="7"/>
      <c r="I32" s="9"/>
      <c r="J32" s="34"/>
      <c r="K32" s="54"/>
      <c r="L32" s="34"/>
      <c r="M32" s="54"/>
      <c r="N32" s="7"/>
      <c r="O32" s="7"/>
      <c r="P32" s="7"/>
      <c r="Q32" s="7"/>
      <c r="R32" s="34"/>
      <c r="S32" s="7"/>
      <c r="T32" s="8"/>
    </row>
    <row r="33" spans="1:20" x14ac:dyDescent="0.35">
      <c r="A33" s="8"/>
      <c r="B33" s="26">
        <v>100</v>
      </c>
      <c r="C33" s="7"/>
      <c r="D33" s="7"/>
      <c r="E33" s="7"/>
      <c r="F33" s="7"/>
      <c r="G33" s="7"/>
      <c r="H33" s="7"/>
      <c r="I33" s="9"/>
      <c r="J33" s="34"/>
      <c r="K33" s="54"/>
      <c r="L33" s="34"/>
      <c r="M33" s="56"/>
      <c r="N33" s="7"/>
      <c r="O33" s="7"/>
      <c r="P33" s="7"/>
      <c r="Q33" s="7"/>
      <c r="R33" s="34"/>
      <c r="S33" s="7"/>
      <c r="T33" s="8"/>
    </row>
    <row r="34" spans="1:20" x14ac:dyDescent="0.35">
      <c r="A34" s="8"/>
      <c r="B34" s="26">
        <v>100</v>
      </c>
      <c r="C34" s="7"/>
      <c r="D34" s="7"/>
      <c r="E34" s="7"/>
      <c r="F34" s="7"/>
      <c r="G34" s="7"/>
      <c r="H34" s="7"/>
      <c r="I34" s="9"/>
      <c r="J34" s="34"/>
      <c r="K34" s="54"/>
      <c r="L34" s="34"/>
      <c r="M34" s="56"/>
      <c r="N34" s="7"/>
      <c r="O34" s="7"/>
      <c r="P34" s="7"/>
      <c r="Q34" s="7"/>
      <c r="R34" s="34"/>
      <c r="S34" s="7"/>
      <c r="T34" s="8"/>
    </row>
    <row r="35" spans="1:20" x14ac:dyDescent="0.35">
      <c r="A35" s="8"/>
      <c r="B35" s="26">
        <v>100</v>
      </c>
      <c r="C35" s="7"/>
      <c r="D35" s="7"/>
      <c r="E35" s="7"/>
      <c r="F35" s="7"/>
      <c r="G35" s="7"/>
      <c r="H35" s="7"/>
      <c r="I35" s="9"/>
      <c r="J35" s="34"/>
      <c r="K35" s="54"/>
      <c r="L35" s="34"/>
      <c r="M35" s="54"/>
      <c r="N35" s="7"/>
      <c r="O35" s="7"/>
      <c r="P35" s="7"/>
      <c r="Q35" s="7"/>
      <c r="R35" s="34"/>
      <c r="S35" s="7"/>
      <c r="T35" s="8"/>
    </row>
    <row r="36" spans="1:20" x14ac:dyDescent="0.35">
      <c r="A36" s="8"/>
      <c r="B36" s="26">
        <v>100</v>
      </c>
      <c r="C36" s="7"/>
      <c r="D36" s="7"/>
      <c r="E36" s="7"/>
      <c r="F36" s="7"/>
      <c r="G36" s="7"/>
      <c r="H36" s="7"/>
      <c r="I36" s="9"/>
      <c r="J36" s="34"/>
      <c r="K36" s="75"/>
      <c r="L36" s="34"/>
      <c r="M36" s="56"/>
      <c r="N36" s="7"/>
      <c r="O36" s="7"/>
      <c r="P36" s="7"/>
      <c r="Q36" s="7"/>
      <c r="R36" s="34"/>
      <c r="S36" s="7"/>
      <c r="T36" s="8"/>
    </row>
    <row r="37" spans="1:20" x14ac:dyDescent="0.35">
      <c r="A37" s="8"/>
      <c r="B37" s="26">
        <v>100</v>
      </c>
      <c r="C37" s="7"/>
      <c r="D37" s="7"/>
      <c r="E37" s="7"/>
      <c r="F37" s="7"/>
      <c r="G37" s="7"/>
      <c r="H37" s="7"/>
      <c r="I37" s="9"/>
      <c r="J37" s="34"/>
      <c r="K37" s="75"/>
      <c r="L37" s="34"/>
      <c r="M37" s="56"/>
      <c r="N37" s="7"/>
      <c r="O37" s="7"/>
      <c r="P37" s="7"/>
      <c r="Q37" s="7"/>
      <c r="R37" s="34"/>
      <c r="S37" s="7"/>
      <c r="T37" s="8"/>
    </row>
    <row r="38" spans="1:20" x14ac:dyDescent="0.35">
      <c r="A38" s="8"/>
      <c r="B38" s="26">
        <v>100</v>
      </c>
      <c r="C38" s="7"/>
      <c r="D38" s="7"/>
      <c r="E38" s="7"/>
      <c r="F38" s="7"/>
      <c r="G38" s="7"/>
      <c r="H38" s="7"/>
      <c r="I38" s="9"/>
      <c r="J38" s="34"/>
      <c r="K38" s="75"/>
      <c r="L38" s="34"/>
      <c r="M38" s="56"/>
      <c r="N38" s="7"/>
      <c r="O38" s="7"/>
      <c r="P38" s="7"/>
      <c r="Q38" s="7"/>
      <c r="R38" s="34"/>
      <c r="S38" s="7"/>
      <c r="T38" s="8"/>
    </row>
    <row r="39" spans="1:20" x14ac:dyDescent="0.35">
      <c r="A39" s="8"/>
      <c r="B39" s="26">
        <v>100</v>
      </c>
      <c r="C39" s="7"/>
      <c r="D39" s="7"/>
      <c r="E39" s="7"/>
      <c r="F39" s="7"/>
      <c r="G39" s="7"/>
      <c r="H39" s="7"/>
      <c r="I39" s="9"/>
      <c r="J39" s="34"/>
      <c r="K39" s="75"/>
      <c r="L39" s="34"/>
      <c r="M39" s="56"/>
      <c r="N39" s="7"/>
      <c r="O39" s="7"/>
      <c r="P39" s="7"/>
      <c r="Q39" s="7"/>
      <c r="R39" s="34"/>
      <c r="S39" s="7"/>
      <c r="T39" s="8"/>
    </row>
    <row r="40" spans="1:20" x14ac:dyDescent="0.35">
      <c r="A40" s="8"/>
      <c r="B40" s="26">
        <v>100</v>
      </c>
      <c r="C40" s="7"/>
      <c r="D40" s="7"/>
      <c r="E40" s="7"/>
      <c r="F40" s="7"/>
      <c r="G40" s="7"/>
      <c r="H40" s="7"/>
      <c r="I40" s="9"/>
      <c r="J40" s="34"/>
      <c r="K40" s="75"/>
      <c r="L40" s="34"/>
      <c r="M40" s="56"/>
      <c r="N40" s="7"/>
      <c r="O40" s="7"/>
      <c r="P40" s="7"/>
      <c r="Q40" s="7"/>
      <c r="R40" s="34"/>
      <c r="S40" s="7"/>
      <c r="T40" s="8"/>
    </row>
    <row r="41" spans="1:20" x14ac:dyDescent="0.35">
      <c r="I41" s="36"/>
      <c r="J41" s="36"/>
      <c r="K41" s="36"/>
      <c r="L41" s="52"/>
      <c r="M41" s="52"/>
    </row>
    <row r="42" spans="1:20" x14ac:dyDescent="0.35">
      <c r="I42" s="36"/>
      <c r="J42" s="36"/>
      <c r="K42" s="36"/>
      <c r="L42" s="52"/>
      <c r="M42" s="52"/>
    </row>
    <row r="43" spans="1:20" x14ac:dyDescent="0.35">
      <c r="I43" s="36"/>
      <c r="J43" s="36"/>
      <c r="K43" s="36"/>
      <c r="L43" s="52"/>
      <c r="M43" s="52"/>
    </row>
    <row r="44" spans="1:20" x14ac:dyDescent="0.35">
      <c r="I44" s="36"/>
      <c r="J44" s="36"/>
      <c r="K44" s="36"/>
      <c r="L44" s="52"/>
      <c r="M44" s="52"/>
    </row>
    <row r="45" spans="1:20" x14ac:dyDescent="0.35">
      <c r="I45" s="36"/>
      <c r="J45" s="36"/>
      <c r="K45" s="36"/>
      <c r="L45" s="52"/>
      <c r="M45" s="52"/>
    </row>
    <row r="46" spans="1:20" x14ac:dyDescent="0.35">
      <c r="I46" s="36"/>
      <c r="J46" s="36"/>
      <c r="K46" s="36"/>
      <c r="L46" s="52"/>
      <c r="M46" s="52"/>
    </row>
    <row r="47" spans="1:20" x14ac:dyDescent="0.35">
      <c r="I47" s="36"/>
      <c r="J47" s="36"/>
      <c r="K47" s="36"/>
      <c r="L47" s="52"/>
      <c r="M47" s="52"/>
    </row>
    <row r="48" spans="1:20" x14ac:dyDescent="0.35">
      <c r="I48" s="36"/>
      <c r="J48" s="36"/>
      <c r="K48" s="36"/>
      <c r="L48" s="52"/>
      <c r="M48" s="52"/>
    </row>
    <row r="49" spans="9:13" x14ac:dyDescent="0.35">
      <c r="I49" s="36"/>
      <c r="J49" s="36"/>
      <c r="K49" s="36"/>
      <c r="L49" s="52"/>
      <c r="M49" s="52"/>
    </row>
    <row r="50" spans="9:13" x14ac:dyDescent="0.35">
      <c r="I50" s="36"/>
      <c r="J50" s="36"/>
      <c r="K50" s="36"/>
      <c r="L50" s="52"/>
      <c r="M50" s="52"/>
    </row>
    <row r="51" spans="9:13" x14ac:dyDescent="0.35">
      <c r="I51" s="36"/>
      <c r="J51" s="36"/>
      <c r="K51" s="36"/>
      <c r="L51" s="52"/>
      <c r="M51" s="52"/>
    </row>
    <row r="52" spans="9:13" x14ac:dyDescent="0.35">
      <c r="I52" s="36"/>
      <c r="J52" s="36"/>
      <c r="K52" s="36"/>
      <c r="L52" s="52"/>
      <c r="M52" s="52"/>
    </row>
    <row r="53" spans="9:13" x14ac:dyDescent="0.35">
      <c r="I53" s="36"/>
      <c r="J53" s="36"/>
      <c r="K53" s="36"/>
      <c r="L53" s="52"/>
      <c r="M53" s="52"/>
    </row>
    <row r="54" spans="9:13" x14ac:dyDescent="0.35">
      <c r="I54" s="36"/>
      <c r="J54" s="36"/>
      <c r="K54" s="36"/>
      <c r="L54" s="52"/>
      <c r="M54" s="52"/>
    </row>
    <row r="55" spans="9:13" x14ac:dyDescent="0.35">
      <c r="I55" s="36"/>
      <c r="J55" s="36"/>
      <c r="K55" s="36"/>
      <c r="L55" s="52"/>
      <c r="M55" s="52"/>
    </row>
    <row r="56" spans="9:13" x14ac:dyDescent="0.35">
      <c r="I56" s="36"/>
      <c r="J56" s="36"/>
      <c r="K56" s="36"/>
      <c r="L56" s="52"/>
      <c r="M56" s="52"/>
    </row>
    <row r="57" spans="9:13" x14ac:dyDescent="0.35">
      <c r="I57" s="36"/>
      <c r="J57" s="36"/>
      <c r="K57" s="36"/>
      <c r="L57" s="52"/>
      <c r="M57" s="52"/>
    </row>
    <row r="58" spans="9:13" x14ac:dyDescent="0.35">
      <c r="I58" s="36"/>
      <c r="J58" s="36"/>
      <c r="K58" s="36"/>
      <c r="L58" s="52"/>
      <c r="M58" s="52"/>
    </row>
    <row r="59" spans="9:13" x14ac:dyDescent="0.35">
      <c r="I59" s="36"/>
      <c r="J59" s="36"/>
      <c r="K59" s="36"/>
      <c r="L59" s="52"/>
      <c r="M59" s="52"/>
    </row>
    <row r="60" spans="9:13" x14ac:dyDescent="0.35">
      <c r="I60" s="36"/>
      <c r="J60" s="36"/>
      <c r="K60" s="36"/>
      <c r="L60" s="52"/>
      <c r="M60" s="52"/>
    </row>
    <row r="61" spans="9:13" x14ac:dyDescent="0.35">
      <c r="I61" s="36"/>
      <c r="J61" s="36"/>
      <c r="K61" s="36"/>
      <c r="L61" s="52"/>
      <c r="M61" s="52"/>
    </row>
    <row r="62" spans="9:13" x14ac:dyDescent="0.35">
      <c r="I62" s="36"/>
      <c r="J62" s="36"/>
      <c r="K62" s="36"/>
      <c r="L62" s="52"/>
      <c r="M62" s="52"/>
    </row>
    <row r="63" spans="9:13" x14ac:dyDescent="0.35">
      <c r="I63" s="36"/>
      <c r="J63" s="36"/>
      <c r="K63" s="36"/>
      <c r="L63" s="52"/>
      <c r="M63" s="52"/>
    </row>
    <row r="64" spans="9:13" x14ac:dyDescent="0.35">
      <c r="I64" s="36"/>
      <c r="J64" s="36"/>
      <c r="K64" s="36"/>
      <c r="L64" s="52"/>
      <c r="M64" s="52"/>
    </row>
    <row r="65" spans="9:10" x14ac:dyDescent="0.35">
      <c r="I65" s="36"/>
      <c r="J65" s="36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B5D3E-EC0D-4C37-B7D8-462CCD63542D}">
  <sheetPr codeName="Sheet32">
    <tabColor rgb="FFC00000"/>
  </sheetPr>
  <dimension ref="A1:U3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7" width="15.625" style="36" customWidth="1"/>
    <col min="8" max="10" width="30.625" style="36" customWidth="1"/>
    <col min="11" max="11" width="40.625" style="36" customWidth="1"/>
    <col min="12" max="12" width="30.625" style="36" customWidth="1"/>
    <col min="13" max="14" width="15.625" style="36" customWidth="1"/>
    <col min="15" max="16" width="20.625" style="36" customWidth="1"/>
    <col min="17" max="17" width="15.625" style="36" customWidth="1"/>
    <col min="18" max="18" width="40.625" style="36" customWidth="1"/>
    <col min="19" max="20" width="30.625" style="36" customWidth="1"/>
    <col min="21" max="21" width="50.625" style="10" customWidth="1"/>
    <col min="22" max="16384" width="10.625" style="10"/>
  </cols>
  <sheetData>
    <row r="1" spans="1:21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38</v>
      </c>
      <c r="G1" s="5" t="s">
        <v>40</v>
      </c>
      <c r="H1" s="5" t="s">
        <v>40</v>
      </c>
      <c r="I1" s="5" t="s">
        <v>40</v>
      </c>
      <c r="J1" s="4" t="s">
        <v>74</v>
      </c>
      <c r="K1" s="5" t="s">
        <v>55</v>
      </c>
      <c r="L1" s="4" t="s">
        <v>74</v>
      </c>
      <c r="M1" s="5" t="s">
        <v>38</v>
      </c>
      <c r="N1" s="5" t="s">
        <v>38</v>
      </c>
      <c r="O1" s="5" t="s">
        <v>349</v>
      </c>
      <c r="P1" s="5" t="s">
        <v>101</v>
      </c>
      <c r="Q1" s="5" t="s">
        <v>2906</v>
      </c>
      <c r="R1" s="5" t="s">
        <v>3727</v>
      </c>
      <c r="S1" s="5" t="s">
        <v>1603</v>
      </c>
      <c r="T1" s="5" t="s">
        <v>3076</v>
      </c>
      <c r="U1" s="6" t="s">
        <v>74</v>
      </c>
    </row>
    <row r="2" spans="1:21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350</v>
      </c>
      <c r="G2" s="2" t="s">
        <v>76</v>
      </c>
      <c r="H2" s="2" t="s">
        <v>159</v>
      </c>
      <c r="I2" s="2" t="s">
        <v>2873</v>
      </c>
      <c r="J2" s="1" t="s">
        <v>2906</v>
      </c>
      <c r="K2" s="2" t="s">
        <v>2874</v>
      </c>
      <c r="L2" s="1" t="s">
        <v>2906</v>
      </c>
      <c r="M2" s="2" t="s">
        <v>3000</v>
      </c>
      <c r="N2" s="2" t="s">
        <v>3014</v>
      </c>
      <c r="O2" s="2" t="s">
        <v>2875</v>
      </c>
      <c r="P2" s="2" t="s">
        <v>3294</v>
      </c>
      <c r="Q2" s="2" t="s">
        <v>2876</v>
      </c>
      <c r="R2" s="2" t="s">
        <v>2877</v>
      </c>
      <c r="S2" s="2" t="s">
        <v>2839</v>
      </c>
      <c r="T2" s="2" t="s">
        <v>3075</v>
      </c>
      <c r="U2" s="3" t="s">
        <v>74</v>
      </c>
    </row>
    <row r="3" spans="1:21" x14ac:dyDescent="0.35">
      <c r="A3" s="24" t="s">
        <v>9</v>
      </c>
      <c r="B3" s="25" t="s">
        <v>31</v>
      </c>
      <c r="C3" s="26" t="s">
        <v>2878</v>
      </c>
      <c r="D3" s="26" t="s">
        <v>149</v>
      </c>
      <c r="E3" s="26" t="s">
        <v>2879</v>
      </c>
      <c r="F3" s="26" t="s">
        <v>2880</v>
      </c>
      <c r="G3" s="26" t="s">
        <v>2881</v>
      </c>
      <c r="H3" s="26" t="s">
        <v>2882</v>
      </c>
      <c r="I3" s="26" t="s">
        <v>2883</v>
      </c>
      <c r="J3" s="25" t="s">
        <v>3038</v>
      </c>
      <c r="K3" s="26" t="s">
        <v>2884</v>
      </c>
      <c r="L3" s="25" t="s">
        <v>2907</v>
      </c>
      <c r="M3" s="26" t="s">
        <v>3001</v>
      </c>
      <c r="N3" s="26" t="s">
        <v>3015</v>
      </c>
      <c r="O3" s="26" t="s">
        <v>2885</v>
      </c>
      <c r="P3" s="26" t="s">
        <v>3295</v>
      </c>
      <c r="Q3" s="26" t="s">
        <v>2886</v>
      </c>
      <c r="R3" s="26" t="s">
        <v>2887</v>
      </c>
      <c r="S3" s="26" t="s">
        <v>2888</v>
      </c>
      <c r="T3" s="26" t="s">
        <v>3071</v>
      </c>
      <c r="U3" s="25" t="s">
        <v>80</v>
      </c>
    </row>
    <row r="4" spans="1:21" x14ac:dyDescent="0.35">
      <c r="A4" s="27" t="s">
        <v>104</v>
      </c>
      <c r="B4" s="27"/>
      <c r="C4" s="27" t="s">
        <v>2889</v>
      </c>
      <c r="D4" s="27" t="s">
        <v>2890</v>
      </c>
      <c r="E4" s="27" t="s">
        <v>3030</v>
      </c>
      <c r="F4" s="27" t="s">
        <v>3031</v>
      </c>
      <c r="G4" s="27" t="s">
        <v>2891</v>
      </c>
      <c r="H4" s="27" t="s">
        <v>2892</v>
      </c>
      <c r="I4" s="27" t="s">
        <v>2980</v>
      </c>
      <c r="J4" s="53"/>
      <c r="K4" s="27" t="s">
        <v>2893</v>
      </c>
      <c r="L4" s="53"/>
      <c r="M4" s="27" t="s">
        <v>3002</v>
      </c>
      <c r="N4" s="27" t="s">
        <v>3016</v>
      </c>
      <c r="O4" s="30" t="s">
        <v>2894</v>
      </c>
      <c r="P4" s="44" t="s">
        <v>3296</v>
      </c>
      <c r="Q4" s="27" t="s">
        <v>2895</v>
      </c>
      <c r="R4" s="30" t="s">
        <v>2896</v>
      </c>
      <c r="S4" s="30" t="s">
        <v>2897</v>
      </c>
      <c r="T4" s="30" t="s">
        <v>3077</v>
      </c>
      <c r="U4" s="27" t="s">
        <v>128</v>
      </c>
    </row>
    <row r="5" spans="1:21" x14ac:dyDescent="0.35">
      <c r="A5" s="38"/>
      <c r="B5" s="26">
        <v>100</v>
      </c>
      <c r="C5" s="26">
        <v>40200001</v>
      </c>
      <c r="D5" s="39"/>
      <c r="E5" s="39">
        <v>0</v>
      </c>
      <c r="F5" s="39">
        <v>0</v>
      </c>
      <c r="G5" s="39" t="s">
        <v>3005</v>
      </c>
      <c r="H5" s="40" t="s">
        <v>3017</v>
      </c>
      <c r="I5" s="26" t="s">
        <v>2978</v>
      </c>
      <c r="J5" s="54" t="s">
        <v>3039</v>
      </c>
      <c r="K5" s="39" t="s">
        <v>2904</v>
      </c>
      <c r="L5" s="54" t="s">
        <v>2913</v>
      </c>
      <c r="M5" s="39">
        <v>1</v>
      </c>
      <c r="N5" s="39">
        <v>100</v>
      </c>
      <c r="O5" s="37" t="s">
        <v>3033</v>
      </c>
      <c r="P5" s="47"/>
      <c r="Q5" s="39" t="s">
        <v>3057</v>
      </c>
      <c r="R5" s="41" t="s">
        <v>3757</v>
      </c>
      <c r="S5" s="41" t="s">
        <v>3101</v>
      </c>
      <c r="T5" s="41"/>
      <c r="U5" s="38" t="s">
        <v>3072</v>
      </c>
    </row>
    <row r="6" spans="1:21" x14ac:dyDescent="0.35">
      <c r="A6" s="38"/>
      <c r="B6" s="26">
        <v>100</v>
      </c>
      <c r="C6" s="26">
        <v>40200002</v>
      </c>
      <c r="D6" s="39"/>
      <c r="E6" s="39">
        <v>0</v>
      </c>
      <c r="F6" s="39">
        <v>0</v>
      </c>
      <c r="G6" s="39" t="s">
        <v>3006</v>
      </c>
      <c r="H6" s="40" t="s">
        <v>3018</v>
      </c>
      <c r="I6" s="26" t="s">
        <v>2978</v>
      </c>
      <c r="J6" s="54" t="s">
        <v>3039</v>
      </c>
      <c r="K6" s="39" t="s">
        <v>3048</v>
      </c>
      <c r="L6" s="54" t="s">
        <v>3049</v>
      </c>
      <c r="M6" s="39">
        <v>1</v>
      </c>
      <c r="N6" s="39">
        <v>100</v>
      </c>
      <c r="O6" s="37" t="s">
        <v>3033</v>
      </c>
      <c r="P6" s="47"/>
      <c r="Q6" s="39" t="s">
        <v>3058</v>
      </c>
      <c r="R6" s="41" t="s">
        <v>3758</v>
      </c>
      <c r="S6" s="41"/>
      <c r="T6" s="41"/>
      <c r="U6" s="38" t="s">
        <v>3073</v>
      </c>
    </row>
    <row r="7" spans="1:21" x14ac:dyDescent="0.35">
      <c r="A7" s="38"/>
      <c r="B7" s="26">
        <v>100</v>
      </c>
      <c r="C7" s="26">
        <v>40200003</v>
      </c>
      <c r="D7" s="39"/>
      <c r="E7" s="39">
        <v>0</v>
      </c>
      <c r="F7" s="39">
        <v>0</v>
      </c>
      <c r="G7" s="39" t="s">
        <v>3007</v>
      </c>
      <c r="H7" s="40" t="s">
        <v>3019</v>
      </c>
      <c r="I7" s="26" t="s">
        <v>2978</v>
      </c>
      <c r="J7" s="54" t="s">
        <v>3039</v>
      </c>
      <c r="K7" s="39" t="s">
        <v>3032</v>
      </c>
      <c r="L7" s="54" t="s">
        <v>3050</v>
      </c>
      <c r="M7" s="39">
        <v>1</v>
      </c>
      <c r="N7" s="39">
        <v>100</v>
      </c>
      <c r="O7" s="37" t="s">
        <v>3033</v>
      </c>
      <c r="P7" s="47"/>
      <c r="Q7" s="39" t="s">
        <v>3059</v>
      </c>
      <c r="R7" s="41" t="s">
        <v>3757</v>
      </c>
      <c r="S7" s="41"/>
      <c r="T7" s="41"/>
      <c r="U7" s="38" t="s">
        <v>3074</v>
      </c>
    </row>
    <row r="8" spans="1:21" x14ac:dyDescent="0.35">
      <c r="A8" s="28"/>
      <c r="B8" s="26">
        <v>100</v>
      </c>
      <c r="C8" s="26">
        <v>40201001</v>
      </c>
      <c r="D8" s="26"/>
      <c r="E8" s="26">
        <v>1</v>
      </c>
      <c r="F8" s="26">
        <v>1</v>
      </c>
      <c r="G8" s="59" t="s">
        <v>2986</v>
      </c>
      <c r="H8" s="67" t="s">
        <v>2992</v>
      </c>
      <c r="I8" s="26" t="s">
        <v>2978</v>
      </c>
      <c r="J8" s="54" t="s">
        <v>3039</v>
      </c>
      <c r="K8" s="26"/>
      <c r="L8" s="54"/>
      <c r="M8" s="26">
        <v>2</v>
      </c>
      <c r="N8" s="26">
        <v>100</v>
      </c>
      <c r="O8" s="31" t="s">
        <v>3034</v>
      </c>
      <c r="P8" s="45">
        <v>92204201</v>
      </c>
      <c r="Q8" s="26"/>
      <c r="R8" s="33"/>
      <c r="S8" s="33"/>
      <c r="T8" s="29" t="s">
        <v>3078</v>
      </c>
      <c r="U8" s="28" t="s">
        <v>3063</v>
      </c>
    </row>
    <row r="9" spans="1:21" x14ac:dyDescent="0.35">
      <c r="A9" s="28"/>
      <c r="B9" s="26">
        <v>100</v>
      </c>
      <c r="C9" s="26">
        <v>40201002</v>
      </c>
      <c r="D9" s="26"/>
      <c r="E9" s="26">
        <v>1</v>
      </c>
      <c r="F9" s="26">
        <v>1</v>
      </c>
      <c r="G9" s="59" t="s">
        <v>2987</v>
      </c>
      <c r="H9" s="67" t="s">
        <v>2993</v>
      </c>
      <c r="I9" s="26" t="s">
        <v>2981</v>
      </c>
      <c r="J9" s="54" t="s">
        <v>3040</v>
      </c>
      <c r="K9" s="26" t="s">
        <v>3020</v>
      </c>
      <c r="L9" s="54" t="s">
        <v>3051</v>
      </c>
      <c r="M9" s="26">
        <v>2</v>
      </c>
      <c r="N9" s="26">
        <v>100</v>
      </c>
      <c r="O9" s="31" t="s">
        <v>3034</v>
      </c>
      <c r="P9" s="45">
        <v>92204201</v>
      </c>
      <c r="Q9" s="26"/>
      <c r="R9" s="33"/>
      <c r="S9" s="33"/>
      <c r="T9" s="29" t="s">
        <v>3079</v>
      </c>
      <c r="U9" s="28" t="s">
        <v>3064</v>
      </c>
    </row>
    <row r="10" spans="1:21" x14ac:dyDescent="0.35">
      <c r="A10" s="38"/>
      <c r="B10" s="26">
        <v>100</v>
      </c>
      <c r="C10" s="26">
        <v>40201003</v>
      </c>
      <c r="D10" s="26"/>
      <c r="E10" s="26">
        <v>1</v>
      </c>
      <c r="F10" s="39">
        <v>1</v>
      </c>
      <c r="G10" s="59" t="s">
        <v>2988</v>
      </c>
      <c r="H10" s="67" t="s">
        <v>2994</v>
      </c>
      <c r="I10" s="26" t="s">
        <v>2982</v>
      </c>
      <c r="J10" s="54" t="s">
        <v>3041</v>
      </c>
      <c r="K10" s="39"/>
      <c r="L10" s="54"/>
      <c r="M10" s="39">
        <v>2</v>
      </c>
      <c r="N10" s="39">
        <v>100</v>
      </c>
      <c r="O10" s="31" t="s">
        <v>3034</v>
      </c>
      <c r="P10" s="45">
        <v>92204201</v>
      </c>
      <c r="Q10" s="26"/>
      <c r="R10" s="33"/>
      <c r="S10" s="33"/>
      <c r="T10" s="29" t="s">
        <v>3080</v>
      </c>
      <c r="U10" s="38" t="s">
        <v>3150</v>
      </c>
    </row>
    <row r="11" spans="1:21" x14ac:dyDescent="0.35">
      <c r="A11" s="38"/>
      <c r="B11" s="26">
        <v>100</v>
      </c>
      <c r="C11" s="26">
        <v>40201004</v>
      </c>
      <c r="D11" s="39"/>
      <c r="E11" s="39">
        <v>1</v>
      </c>
      <c r="F11" s="39">
        <v>2</v>
      </c>
      <c r="G11" s="7" t="s">
        <v>2963</v>
      </c>
      <c r="H11" s="9" t="s">
        <v>2965</v>
      </c>
      <c r="I11" s="26" t="s">
        <v>2982</v>
      </c>
      <c r="J11" s="54" t="s">
        <v>3041</v>
      </c>
      <c r="K11" s="39"/>
      <c r="L11" s="54"/>
      <c r="M11" s="39">
        <v>2</v>
      </c>
      <c r="N11" s="39">
        <v>100</v>
      </c>
      <c r="O11" s="37" t="s">
        <v>3148</v>
      </c>
      <c r="P11" s="47">
        <v>92204203</v>
      </c>
      <c r="Q11" s="39" t="s">
        <v>3151</v>
      </c>
      <c r="R11" s="41" t="s">
        <v>3728</v>
      </c>
      <c r="S11" s="41" t="s">
        <v>3102</v>
      </c>
      <c r="T11" s="29" t="s">
        <v>3156</v>
      </c>
      <c r="U11" s="38" t="s">
        <v>3158</v>
      </c>
    </row>
    <row r="12" spans="1:21" x14ac:dyDescent="0.35">
      <c r="A12" s="38"/>
      <c r="B12" s="26">
        <v>100</v>
      </c>
      <c r="C12" s="26">
        <v>40201005</v>
      </c>
      <c r="D12" s="39"/>
      <c r="E12" s="39">
        <v>1</v>
      </c>
      <c r="F12" s="39">
        <v>2</v>
      </c>
      <c r="G12" s="7" t="s">
        <v>2964</v>
      </c>
      <c r="H12" s="9" t="s">
        <v>2966</v>
      </c>
      <c r="I12" s="26" t="s">
        <v>2982</v>
      </c>
      <c r="J12" s="54" t="s">
        <v>3041</v>
      </c>
      <c r="K12" s="39"/>
      <c r="L12" s="54"/>
      <c r="M12" s="39">
        <v>2</v>
      </c>
      <c r="N12" s="39">
        <v>100</v>
      </c>
      <c r="O12" s="37" t="s">
        <v>3149</v>
      </c>
      <c r="P12" s="47">
        <v>92204203</v>
      </c>
      <c r="Q12" s="39" t="s">
        <v>3152</v>
      </c>
      <c r="R12" s="41" t="s">
        <v>3729</v>
      </c>
      <c r="S12" s="41" t="s">
        <v>3102</v>
      </c>
      <c r="T12" s="29" t="s">
        <v>3157</v>
      </c>
      <c r="U12" s="38" t="s">
        <v>3159</v>
      </c>
    </row>
    <row r="13" spans="1:21" x14ac:dyDescent="0.35">
      <c r="A13" s="38"/>
      <c r="B13" s="26">
        <v>100</v>
      </c>
      <c r="C13" s="26">
        <v>40201006</v>
      </c>
      <c r="D13" s="39"/>
      <c r="E13" s="39">
        <v>1</v>
      </c>
      <c r="F13" s="39">
        <v>1</v>
      </c>
      <c r="G13" s="26" t="s">
        <v>2998</v>
      </c>
      <c r="H13" s="40" t="s">
        <v>3013</v>
      </c>
      <c r="I13" s="26" t="s">
        <v>2978</v>
      </c>
      <c r="J13" s="54" t="s">
        <v>3039</v>
      </c>
      <c r="K13" s="39" t="s">
        <v>3021</v>
      </c>
      <c r="L13" s="54" t="s">
        <v>3052</v>
      </c>
      <c r="M13" s="39">
        <v>1</v>
      </c>
      <c r="N13" s="39">
        <v>100</v>
      </c>
      <c r="O13" s="37" t="s">
        <v>3034</v>
      </c>
      <c r="P13" s="45">
        <v>92204201</v>
      </c>
      <c r="Q13" s="39"/>
      <c r="R13" s="41"/>
      <c r="S13" s="41" t="s">
        <v>3102</v>
      </c>
      <c r="T13" s="41" t="s">
        <v>3090</v>
      </c>
      <c r="U13" s="38" t="s">
        <v>3065</v>
      </c>
    </row>
    <row r="14" spans="1:21" x14ac:dyDescent="0.35">
      <c r="A14" s="28"/>
      <c r="B14" s="26">
        <v>100</v>
      </c>
      <c r="C14" s="26">
        <v>40202001</v>
      </c>
      <c r="D14" s="26"/>
      <c r="E14" s="26">
        <v>2</v>
      </c>
      <c r="F14" s="26">
        <v>3</v>
      </c>
      <c r="G14" s="26" t="s">
        <v>2989</v>
      </c>
      <c r="H14" s="29" t="s">
        <v>2995</v>
      </c>
      <c r="I14" s="26" t="s">
        <v>2983</v>
      </c>
      <c r="J14" s="54" t="s">
        <v>3042</v>
      </c>
      <c r="K14" s="26" t="s">
        <v>3025</v>
      </c>
      <c r="L14" s="54" t="s">
        <v>3053</v>
      </c>
      <c r="M14" s="26">
        <v>1</v>
      </c>
      <c r="N14" s="26">
        <v>200</v>
      </c>
      <c r="O14" s="31" t="s">
        <v>3037</v>
      </c>
      <c r="P14" s="45">
        <v>92204205</v>
      </c>
      <c r="Q14" s="26" t="s">
        <v>3060</v>
      </c>
      <c r="R14" s="33"/>
      <c r="S14" s="33"/>
      <c r="T14" s="33" t="s">
        <v>3082</v>
      </c>
      <c r="U14" s="28" t="s">
        <v>3083</v>
      </c>
    </row>
    <row r="15" spans="1:21" x14ac:dyDescent="0.35">
      <c r="A15" s="28"/>
      <c r="B15" s="26">
        <v>100</v>
      </c>
      <c r="C15" s="26">
        <v>40202002</v>
      </c>
      <c r="D15" s="26"/>
      <c r="E15" s="26">
        <v>2</v>
      </c>
      <c r="F15" s="26">
        <v>3</v>
      </c>
      <c r="G15" s="26" t="s">
        <v>2990</v>
      </c>
      <c r="H15" s="29" t="s">
        <v>2996</v>
      </c>
      <c r="I15" s="26" t="s">
        <v>2984</v>
      </c>
      <c r="J15" s="54" t="s">
        <v>3043</v>
      </c>
      <c r="K15" s="26" t="s">
        <v>3025</v>
      </c>
      <c r="L15" s="54"/>
      <c r="M15" s="26">
        <v>1</v>
      </c>
      <c r="N15" s="26">
        <v>200</v>
      </c>
      <c r="O15" s="31" t="s">
        <v>3037</v>
      </c>
      <c r="P15" s="45">
        <v>92204205</v>
      </c>
      <c r="Q15" s="26" t="s">
        <v>3060</v>
      </c>
      <c r="R15" s="33"/>
      <c r="S15" s="33"/>
      <c r="T15" s="33" t="s">
        <v>3091</v>
      </c>
      <c r="U15" s="28" t="s">
        <v>3092</v>
      </c>
    </row>
    <row r="16" spans="1:21" x14ac:dyDescent="0.35">
      <c r="A16" s="38"/>
      <c r="B16" s="26">
        <v>100</v>
      </c>
      <c r="C16" s="26">
        <v>40202003</v>
      </c>
      <c r="D16" s="26"/>
      <c r="E16" s="26">
        <v>2</v>
      </c>
      <c r="F16" s="39">
        <v>3</v>
      </c>
      <c r="G16" s="39" t="s">
        <v>2991</v>
      </c>
      <c r="H16" s="40" t="s">
        <v>2997</v>
      </c>
      <c r="I16" s="26" t="s">
        <v>2985</v>
      </c>
      <c r="J16" s="54" t="s">
        <v>3044</v>
      </c>
      <c r="K16" s="26" t="s">
        <v>3025</v>
      </c>
      <c r="L16" s="54"/>
      <c r="M16" s="39">
        <v>1</v>
      </c>
      <c r="N16" s="39">
        <v>200</v>
      </c>
      <c r="O16" s="31" t="s">
        <v>3037</v>
      </c>
      <c r="P16" s="45">
        <v>92204205</v>
      </c>
      <c r="Q16" s="26" t="s">
        <v>3061</v>
      </c>
      <c r="R16" s="41"/>
      <c r="S16" s="41"/>
      <c r="T16" s="41" t="s">
        <v>3099</v>
      </c>
      <c r="U16" s="38" t="s">
        <v>3066</v>
      </c>
    </row>
    <row r="17" spans="1:21" x14ac:dyDescent="0.35">
      <c r="A17" s="28"/>
      <c r="B17" s="26">
        <v>100</v>
      </c>
      <c r="C17" s="26">
        <v>40203001</v>
      </c>
      <c r="D17" s="26"/>
      <c r="E17" s="26">
        <v>3</v>
      </c>
      <c r="F17" s="26">
        <v>2</v>
      </c>
      <c r="G17" s="26" t="s">
        <v>2999</v>
      </c>
      <c r="H17" s="29" t="s">
        <v>3010</v>
      </c>
      <c r="I17" s="26" t="s">
        <v>3035</v>
      </c>
      <c r="J17" s="54" t="s">
        <v>3045</v>
      </c>
      <c r="K17" s="26" t="s">
        <v>3024</v>
      </c>
      <c r="L17" s="54" t="s">
        <v>3054</v>
      </c>
      <c r="M17" s="26">
        <v>1</v>
      </c>
      <c r="N17" s="26">
        <v>500</v>
      </c>
      <c r="O17" s="31" t="s">
        <v>3028</v>
      </c>
      <c r="P17" s="45">
        <v>92204204</v>
      </c>
      <c r="Q17" s="26" t="s">
        <v>3062</v>
      </c>
      <c r="R17" s="33" t="s">
        <v>3759</v>
      </c>
      <c r="S17" s="41" t="s">
        <v>3103</v>
      </c>
      <c r="T17" s="33" t="s">
        <v>3090</v>
      </c>
      <c r="U17" s="28" t="s">
        <v>3067</v>
      </c>
    </row>
    <row r="18" spans="1:21" x14ac:dyDescent="0.35">
      <c r="A18" s="28"/>
      <c r="B18" s="26">
        <v>100</v>
      </c>
      <c r="C18" s="26">
        <v>40203002</v>
      </c>
      <c r="D18" s="26"/>
      <c r="E18" s="26">
        <v>3</v>
      </c>
      <c r="F18" s="26">
        <v>1</v>
      </c>
      <c r="G18" s="59" t="s">
        <v>3008</v>
      </c>
      <c r="H18" s="67" t="s">
        <v>3011</v>
      </c>
      <c r="I18" s="26" t="s">
        <v>3036</v>
      </c>
      <c r="J18" s="54" t="s">
        <v>3047</v>
      </c>
      <c r="K18" s="26" t="s">
        <v>3025</v>
      </c>
      <c r="L18" s="54"/>
      <c r="M18" s="7">
        <v>2</v>
      </c>
      <c r="N18" s="26">
        <v>200</v>
      </c>
      <c r="O18" s="31" t="s">
        <v>3029</v>
      </c>
      <c r="P18" s="45">
        <v>92204202</v>
      </c>
      <c r="Q18" s="26"/>
      <c r="R18" s="33"/>
      <c r="S18" s="33"/>
      <c r="T18" s="33"/>
      <c r="U18" s="28" t="s">
        <v>3068</v>
      </c>
    </row>
    <row r="19" spans="1:21" x14ac:dyDescent="0.35">
      <c r="A19" s="8"/>
      <c r="B19" s="26">
        <v>100</v>
      </c>
      <c r="C19" s="26">
        <v>40203003</v>
      </c>
      <c r="D19" s="26"/>
      <c r="E19" s="26">
        <v>3</v>
      </c>
      <c r="F19" s="7">
        <v>1</v>
      </c>
      <c r="G19" s="60" t="s">
        <v>3009</v>
      </c>
      <c r="H19" s="74" t="s">
        <v>3012</v>
      </c>
      <c r="I19" s="26" t="s">
        <v>3036</v>
      </c>
      <c r="J19" s="54" t="s">
        <v>3046</v>
      </c>
      <c r="K19" s="7" t="s">
        <v>3027</v>
      </c>
      <c r="L19" s="54" t="s">
        <v>3055</v>
      </c>
      <c r="M19" s="7">
        <v>1</v>
      </c>
      <c r="N19" s="7">
        <v>200</v>
      </c>
      <c r="O19" s="32" t="s">
        <v>3029</v>
      </c>
      <c r="P19" s="45">
        <v>92204202</v>
      </c>
      <c r="Q19" s="7"/>
      <c r="R19" s="34"/>
      <c r="S19" s="34"/>
      <c r="T19" s="34" t="s">
        <v>3100</v>
      </c>
      <c r="U19" s="8" t="s">
        <v>3069</v>
      </c>
    </row>
    <row r="20" spans="1:21" x14ac:dyDescent="0.35">
      <c r="A20" s="8"/>
      <c r="B20" s="7">
        <v>100</v>
      </c>
      <c r="C20" s="26">
        <v>40203004</v>
      </c>
      <c r="D20" s="26"/>
      <c r="E20" s="26">
        <v>3</v>
      </c>
      <c r="F20" s="26">
        <v>1</v>
      </c>
      <c r="G20" s="60" t="s">
        <v>3022</v>
      </c>
      <c r="H20" s="74" t="s">
        <v>3023</v>
      </c>
      <c r="I20" s="26" t="s">
        <v>3036</v>
      </c>
      <c r="J20" s="54" t="s">
        <v>3046</v>
      </c>
      <c r="K20" s="26" t="s">
        <v>3026</v>
      </c>
      <c r="L20" s="54" t="s">
        <v>3056</v>
      </c>
      <c r="M20" s="7">
        <v>1</v>
      </c>
      <c r="N20" s="7">
        <v>200</v>
      </c>
      <c r="O20" s="32" t="s">
        <v>3029</v>
      </c>
      <c r="P20" s="45">
        <v>92204202</v>
      </c>
      <c r="Q20" s="7"/>
      <c r="R20" s="34"/>
      <c r="S20" s="34"/>
      <c r="T20" s="34"/>
      <c r="U20" s="8" t="s">
        <v>3070</v>
      </c>
    </row>
    <row r="21" spans="1:21" x14ac:dyDescent="0.35">
      <c r="A21" s="8"/>
      <c r="B21" s="7">
        <v>100</v>
      </c>
      <c r="C21" s="7"/>
      <c r="D21" s="7"/>
      <c r="E21" s="7"/>
      <c r="F21" s="7"/>
      <c r="G21" s="7"/>
      <c r="H21" s="9"/>
      <c r="I21" s="7"/>
      <c r="J21" s="54"/>
      <c r="K21" s="7"/>
      <c r="L21" s="54"/>
      <c r="M21" s="7"/>
      <c r="N21" s="7"/>
      <c r="O21" s="32"/>
      <c r="P21" s="46"/>
      <c r="Q21" s="7"/>
      <c r="R21" s="34"/>
      <c r="S21" s="34"/>
      <c r="T21" s="34"/>
      <c r="U21" s="8"/>
    </row>
    <row r="22" spans="1:21" x14ac:dyDescent="0.35">
      <c r="A22" s="8"/>
      <c r="B22" s="7">
        <v>100</v>
      </c>
      <c r="C22" s="7"/>
      <c r="D22" s="7"/>
      <c r="E22" s="7"/>
      <c r="F22" s="7"/>
      <c r="G22" s="7"/>
      <c r="H22" s="9"/>
      <c r="I22" s="7"/>
      <c r="J22" s="54"/>
      <c r="K22" s="7"/>
      <c r="L22" s="54"/>
      <c r="M22" s="7"/>
      <c r="N22" s="7"/>
      <c r="O22" s="32"/>
      <c r="P22" s="46"/>
      <c r="Q22" s="7"/>
      <c r="R22" s="34"/>
      <c r="S22" s="34"/>
      <c r="T22" s="34"/>
      <c r="U22" s="8"/>
    </row>
    <row r="23" spans="1:21" x14ac:dyDescent="0.35">
      <c r="A23" s="8"/>
      <c r="B23" s="7">
        <v>100</v>
      </c>
      <c r="C23" s="7"/>
      <c r="D23" s="7"/>
      <c r="E23" s="7"/>
      <c r="F23" s="7"/>
      <c r="G23" s="7"/>
      <c r="H23" s="9"/>
      <c r="I23" s="7"/>
      <c r="J23" s="54"/>
      <c r="K23" s="7"/>
      <c r="L23" s="54"/>
      <c r="M23" s="7"/>
      <c r="N23" s="7"/>
      <c r="O23" s="32"/>
      <c r="P23" s="46"/>
      <c r="Q23" s="7"/>
      <c r="R23" s="34"/>
      <c r="S23" s="34"/>
      <c r="T23" s="34"/>
      <c r="U23" s="8"/>
    </row>
    <row r="24" spans="1:21" x14ac:dyDescent="0.35">
      <c r="A24" s="8"/>
      <c r="B24" s="7">
        <v>100</v>
      </c>
      <c r="C24" s="7"/>
      <c r="D24" s="7"/>
      <c r="E24" s="7"/>
      <c r="F24" s="7"/>
      <c r="G24" s="7"/>
      <c r="H24" s="9"/>
      <c r="I24" s="7"/>
      <c r="J24" s="54"/>
      <c r="K24" s="7"/>
      <c r="L24" s="54"/>
      <c r="M24" s="7"/>
      <c r="N24" s="7"/>
      <c r="O24" s="32"/>
      <c r="P24" s="46"/>
      <c r="Q24" s="7"/>
      <c r="R24" s="34"/>
      <c r="S24" s="34"/>
      <c r="T24" s="34"/>
      <c r="U24" s="8"/>
    </row>
    <row r="25" spans="1:21" x14ac:dyDescent="0.35">
      <c r="A25" s="8"/>
      <c r="B25" s="7">
        <v>100</v>
      </c>
      <c r="C25" s="7"/>
      <c r="D25" s="7"/>
      <c r="E25" s="7"/>
      <c r="F25" s="7"/>
      <c r="G25" s="7"/>
      <c r="H25" s="9"/>
      <c r="I25" s="7"/>
      <c r="J25" s="54"/>
      <c r="K25" s="7"/>
      <c r="L25" s="54"/>
      <c r="M25" s="7"/>
      <c r="N25" s="7"/>
      <c r="O25" s="32"/>
      <c r="P25" s="46"/>
      <c r="Q25" s="7"/>
      <c r="R25" s="34"/>
      <c r="S25" s="34"/>
      <c r="T25" s="34"/>
      <c r="U25" s="8"/>
    </row>
    <row r="26" spans="1:21" x14ac:dyDescent="0.35">
      <c r="A26" s="8"/>
      <c r="B26" s="7">
        <v>100</v>
      </c>
      <c r="C26" s="7"/>
      <c r="D26" s="7"/>
      <c r="E26" s="7"/>
      <c r="F26" s="7"/>
      <c r="G26" s="7"/>
      <c r="H26" s="9"/>
      <c r="I26" s="7"/>
      <c r="J26" s="54"/>
      <c r="K26" s="7"/>
      <c r="L26" s="54"/>
      <c r="M26" s="7"/>
      <c r="N26" s="7"/>
      <c r="O26" s="32"/>
      <c r="P26" s="46"/>
      <c r="Q26" s="7"/>
      <c r="R26" s="34"/>
      <c r="S26" s="34"/>
      <c r="T26" s="34"/>
      <c r="U26" s="8"/>
    </row>
    <row r="27" spans="1:21" x14ac:dyDescent="0.35">
      <c r="A27" s="8"/>
      <c r="B27" s="7">
        <v>100</v>
      </c>
      <c r="C27" s="7"/>
      <c r="D27" s="7"/>
      <c r="E27" s="7"/>
      <c r="F27" s="7"/>
      <c r="G27" s="7"/>
      <c r="H27" s="9"/>
      <c r="I27" s="7"/>
      <c r="J27" s="54"/>
      <c r="K27" s="7"/>
      <c r="L27" s="54"/>
      <c r="M27" s="7"/>
      <c r="N27" s="7"/>
      <c r="O27" s="32"/>
      <c r="P27" s="46"/>
      <c r="Q27" s="7"/>
      <c r="R27" s="34"/>
      <c r="S27" s="34"/>
      <c r="T27" s="34"/>
      <c r="U27" s="8"/>
    </row>
    <row r="28" spans="1:21" x14ac:dyDescent="0.35">
      <c r="A28" s="8"/>
      <c r="B28" s="7">
        <v>100</v>
      </c>
      <c r="C28" s="7"/>
      <c r="D28" s="7"/>
      <c r="E28" s="7"/>
      <c r="F28" s="7"/>
      <c r="G28" s="7"/>
      <c r="H28" s="9"/>
      <c r="I28" s="7"/>
      <c r="J28" s="54"/>
      <c r="K28" s="7"/>
      <c r="L28" s="54"/>
      <c r="M28" s="7"/>
      <c r="N28" s="7"/>
      <c r="O28" s="32"/>
      <c r="P28" s="46"/>
      <c r="Q28" s="7"/>
      <c r="R28" s="34"/>
      <c r="S28" s="34"/>
      <c r="T28" s="34"/>
      <c r="U28" s="8"/>
    </row>
    <row r="29" spans="1:21" x14ac:dyDescent="0.35">
      <c r="A29" s="8"/>
      <c r="B29" s="7">
        <v>100</v>
      </c>
      <c r="C29" s="7"/>
      <c r="D29" s="7"/>
      <c r="E29" s="7"/>
      <c r="F29" s="7"/>
      <c r="G29" s="7"/>
      <c r="H29" s="9"/>
      <c r="I29" s="7"/>
      <c r="J29" s="54"/>
      <c r="K29" s="7"/>
      <c r="L29" s="54"/>
      <c r="M29" s="7"/>
      <c r="N29" s="7"/>
      <c r="O29" s="32"/>
      <c r="P29" s="46"/>
      <c r="Q29" s="7"/>
      <c r="R29" s="34"/>
      <c r="S29" s="34"/>
      <c r="T29" s="34"/>
      <c r="U29" s="8"/>
    </row>
    <row r="30" spans="1:21" x14ac:dyDescent="0.35">
      <c r="A30" s="8"/>
      <c r="B30" s="7">
        <v>100</v>
      </c>
      <c r="C30" s="7"/>
      <c r="D30" s="7"/>
      <c r="E30" s="7"/>
      <c r="F30" s="7"/>
      <c r="G30" s="7"/>
      <c r="H30" s="9"/>
      <c r="I30" s="7"/>
      <c r="J30" s="54"/>
      <c r="K30" s="7"/>
      <c r="L30" s="54"/>
      <c r="M30" s="7"/>
      <c r="N30" s="7"/>
      <c r="O30" s="32"/>
      <c r="P30" s="46"/>
      <c r="Q30" s="7"/>
      <c r="R30" s="34"/>
      <c r="S30" s="34"/>
      <c r="T30" s="34"/>
      <c r="U3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C16E9-3B0E-47E9-9B38-270CDEEBCF8C}">
  <sheetPr codeName="Sheet34">
    <tabColor rgb="FFC00000"/>
  </sheetPr>
  <dimension ref="A1:J4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6" width="15.625" style="10" customWidth="1"/>
    <col min="7" max="7" width="30.625" style="10" customWidth="1"/>
    <col min="8" max="8" width="15.625" style="10" customWidth="1"/>
    <col min="9" max="10" width="50.625" style="10" customWidth="1"/>
    <col min="11" max="16384" width="10.625" style="10"/>
  </cols>
  <sheetData>
    <row r="1" spans="1:10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38</v>
      </c>
      <c r="F1" s="5" t="s">
        <v>40</v>
      </c>
      <c r="G1" s="5" t="s">
        <v>40</v>
      </c>
      <c r="H1" s="5" t="s">
        <v>40</v>
      </c>
      <c r="I1" s="5" t="s">
        <v>2872</v>
      </c>
      <c r="J1" s="6" t="s">
        <v>74</v>
      </c>
    </row>
    <row r="2" spans="1:10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70</v>
      </c>
      <c r="F2" s="2" t="s">
        <v>76</v>
      </c>
      <c r="G2" s="2" t="s">
        <v>159</v>
      </c>
      <c r="H2" s="2" t="s">
        <v>3609</v>
      </c>
      <c r="I2" s="2" t="s">
        <v>2877</v>
      </c>
      <c r="J2" s="3" t="s">
        <v>74</v>
      </c>
    </row>
    <row r="3" spans="1:10" x14ac:dyDescent="0.35">
      <c r="A3" s="24" t="s">
        <v>9</v>
      </c>
      <c r="B3" s="25" t="s">
        <v>31</v>
      </c>
      <c r="C3" s="26" t="s">
        <v>3610</v>
      </c>
      <c r="D3" s="26" t="s">
        <v>149</v>
      </c>
      <c r="E3" s="26" t="s">
        <v>3611</v>
      </c>
      <c r="F3" s="26" t="s">
        <v>3612</v>
      </c>
      <c r="G3" s="26" t="s">
        <v>3613</v>
      </c>
      <c r="H3" s="26" t="s">
        <v>3614</v>
      </c>
      <c r="I3" s="26" t="s">
        <v>2887</v>
      </c>
      <c r="J3" s="25" t="s">
        <v>80</v>
      </c>
    </row>
    <row r="4" spans="1:10" x14ac:dyDescent="0.35">
      <c r="A4" s="27" t="s">
        <v>104</v>
      </c>
      <c r="B4" s="27"/>
      <c r="C4" s="27" t="s">
        <v>3615</v>
      </c>
      <c r="D4" s="27" t="s">
        <v>3616</v>
      </c>
      <c r="E4" s="27" t="s">
        <v>3617</v>
      </c>
      <c r="F4" s="27" t="s">
        <v>3618</v>
      </c>
      <c r="G4" s="27" t="s">
        <v>3619</v>
      </c>
      <c r="H4" s="27" t="s">
        <v>3620</v>
      </c>
      <c r="I4" s="30" t="s">
        <v>3621</v>
      </c>
      <c r="J4" s="27" t="s">
        <v>128</v>
      </c>
    </row>
    <row r="5" spans="1:10" x14ac:dyDescent="0.35">
      <c r="A5" s="28"/>
      <c r="B5" s="26">
        <v>100</v>
      </c>
      <c r="C5" s="26">
        <v>41001001</v>
      </c>
      <c r="D5" s="26"/>
      <c r="E5" s="26">
        <v>1</v>
      </c>
      <c r="F5" s="26" t="s">
        <v>3622</v>
      </c>
      <c r="G5" s="29" t="s">
        <v>3628</v>
      </c>
      <c r="H5" s="26" t="s">
        <v>3625</v>
      </c>
      <c r="I5" s="33" t="s">
        <v>3635</v>
      </c>
      <c r="J5" s="29" t="s">
        <v>3622</v>
      </c>
    </row>
    <row r="6" spans="1:10" x14ac:dyDescent="0.35">
      <c r="A6" s="28"/>
      <c r="B6" s="26">
        <v>100</v>
      </c>
      <c r="C6" s="26">
        <v>41001002</v>
      </c>
      <c r="D6" s="26"/>
      <c r="E6" s="26">
        <v>1</v>
      </c>
      <c r="F6" s="26" t="s">
        <v>3623</v>
      </c>
      <c r="G6" s="29" t="s">
        <v>3629</v>
      </c>
      <c r="H6" s="26" t="s">
        <v>3626</v>
      </c>
      <c r="I6" s="33" t="s">
        <v>3636</v>
      </c>
      <c r="J6" s="29" t="s">
        <v>3623</v>
      </c>
    </row>
    <row r="7" spans="1:10" x14ac:dyDescent="0.35">
      <c r="A7" s="28"/>
      <c r="B7" s="26">
        <v>100</v>
      </c>
      <c r="C7" s="26">
        <v>41001003</v>
      </c>
      <c r="D7" s="26"/>
      <c r="E7" s="26">
        <v>1</v>
      </c>
      <c r="F7" s="26" t="s">
        <v>3624</v>
      </c>
      <c r="G7" s="29" t="s">
        <v>3630</v>
      </c>
      <c r="H7" s="26" t="s">
        <v>3627</v>
      </c>
      <c r="I7" s="33" t="s">
        <v>3637</v>
      </c>
      <c r="J7" s="29" t="s">
        <v>3624</v>
      </c>
    </row>
    <row r="8" spans="1:10" x14ac:dyDescent="0.35">
      <c r="A8" s="38"/>
      <c r="B8" s="26">
        <v>100</v>
      </c>
      <c r="C8" s="26">
        <v>41001004</v>
      </c>
      <c r="D8" s="39"/>
      <c r="E8" s="26">
        <v>1</v>
      </c>
      <c r="F8" s="26" t="s">
        <v>3622</v>
      </c>
      <c r="G8" s="29"/>
      <c r="H8" s="26" t="s">
        <v>3625</v>
      </c>
      <c r="I8" s="33" t="s">
        <v>3635</v>
      </c>
      <c r="J8" s="40"/>
    </row>
    <row r="9" spans="1:10" x14ac:dyDescent="0.35">
      <c r="A9" s="38"/>
      <c r="B9" s="26">
        <v>100</v>
      </c>
      <c r="C9" s="26">
        <v>41001005</v>
      </c>
      <c r="D9" s="39"/>
      <c r="E9" s="26">
        <v>1</v>
      </c>
      <c r="F9" s="26" t="s">
        <v>3622</v>
      </c>
      <c r="G9" s="29"/>
      <c r="H9" s="26" t="s">
        <v>3625</v>
      </c>
      <c r="I9" s="33" t="s">
        <v>3635</v>
      </c>
      <c r="J9" s="40"/>
    </row>
    <row r="10" spans="1:10" x14ac:dyDescent="0.35">
      <c r="A10" s="38"/>
      <c r="B10" s="26">
        <v>100</v>
      </c>
      <c r="C10" s="26">
        <v>41001006</v>
      </c>
      <c r="D10" s="39"/>
      <c r="E10" s="26">
        <v>1</v>
      </c>
      <c r="F10" s="26" t="s">
        <v>3622</v>
      </c>
      <c r="G10" s="29"/>
      <c r="H10" s="26" t="s">
        <v>3625</v>
      </c>
      <c r="I10" s="33" t="s">
        <v>3635</v>
      </c>
      <c r="J10" s="40"/>
    </row>
    <row r="11" spans="1:10" x14ac:dyDescent="0.35">
      <c r="A11" s="38"/>
      <c r="B11" s="26">
        <v>100</v>
      </c>
      <c r="C11" s="26">
        <v>41001007</v>
      </c>
      <c r="D11" s="39"/>
      <c r="E11" s="26">
        <v>1</v>
      </c>
      <c r="F11" s="26" t="s">
        <v>3622</v>
      </c>
      <c r="G11" s="29"/>
      <c r="H11" s="26" t="s">
        <v>3625</v>
      </c>
      <c r="I11" s="33" t="s">
        <v>3635</v>
      </c>
      <c r="J11" s="40"/>
    </row>
    <row r="12" spans="1:10" x14ac:dyDescent="0.35">
      <c r="A12" s="38"/>
      <c r="B12" s="26">
        <v>100</v>
      </c>
      <c r="C12" s="26">
        <v>41001008</v>
      </c>
      <c r="D12" s="39"/>
      <c r="E12" s="26">
        <v>1</v>
      </c>
      <c r="F12" s="26" t="s">
        <v>3622</v>
      </c>
      <c r="G12" s="29"/>
      <c r="H12" s="26" t="s">
        <v>3625</v>
      </c>
      <c r="I12" s="33" t="s">
        <v>3635</v>
      </c>
      <c r="J12" s="40"/>
    </row>
    <row r="13" spans="1:10" x14ac:dyDescent="0.35">
      <c r="A13" s="38"/>
      <c r="B13" s="26">
        <v>100</v>
      </c>
      <c r="C13" s="26">
        <v>41001009</v>
      </c>
      <c r="D13" s="39"/>
      <c r="E13" s="26">
        <v>1</v>
      </c>
      <c r="F13" s="26" t="s">
        <v>3622</v>
      </c>
      <c r="G13" s="29"/>
      <c r="H13" s="26" t="s">
        <v>3625</v>
      </c>
      <c r="I13" s="33" t="s">
        <v>3635</v>
      </c>
      <c r="J13" s="40"/>
    </row>
    <row r="14" spans="1:10" x14ac:dyDescent="0.35">
      <c r="A14" s="38"/>
      <c r="B14" s="26">
        <v>100</v>
      </c>
      <c r="C14" s="26">
        <v>41001010</v>
      </c>
      <c r="D14" s="39"/>
      <c r="E14" s="26">
        <v>1</v>
      </c>
      <c r="F14" s="26" t="s">
        <v>3622</v>
      </c>
      <c r="G14" s="29"/>
      <c r="H14" s="26" t="s">
        <v>3625</v>
      </c>
      <c r="I14" s="33" t="s">
        <v>3635</v>
      </c>
      <c r="J14" s="40"/>
    </row>
    <row r="15" spans="1:10" x14ac:dyDescent="0.35">
      <c r="A15" s="38"/>
      <c r="B15" s="26">
        <v>100</v>
      </c>
      <c r="C15" s="26">
        <v>41001011</v>
      </c>
      <c r="D15" s="39"/>
      <c r="E15" s="26">
        <v>1</v>
      </c>
      <c r="F15" s="26" t="s">
        <v>3622</v>
      </c>
      <c r="G15" s="29"/>
      <c r="H15" s="26" t="s">
        <v>3625</v>
      </c>
      <c r="I15" s="33" t="s">
        <v>3635</v>
      </c>
      <c r="J15" s="40"/>
    </row>
    <row r="16" spans="1:10" x14ac:dyDescent="0.35">
      <c r="A16" s="38"/>
      <c r="B16" s="26">
        <v>100</v>
      </c>
      <c r="C16" s="26">
        <v>41001012</v>
      </c>
      <c r="D16" s="39"/>
      <c r="E16" s="26">
        <v>1</v>
      </c>
      <c r="F16" s="26" t="s">
        <v>3622</v>
      </c>
      <c r="G16" s="29"/>
      <c r="H16" s="26" t="s">
        <v>3625</v>
      </c>
      <c r="I16" s="33" t="s">
        <v>3635</v>
      </c>
      <c r="J16" s="40"/>
    </row>
    <row r="17" spans="1:10" x14ac:dyDescent="0.35">
      <c r="A17" s="38"/>
      <c r="B17" s="26">
        <v>100</v>
      </c>
      <c r="C17" s="26">
        <v>41001013</v>
      </c>
      <c r="D17" s="39"/>
      <c r="E17" s="26">
        <v>1</v>
      </c>
      <c r="F17" s="26" t="s">
        <v>3622</v>
      </c>
      <c r="G17" s="29"/>
      <c r="H17" s="26" t="s">
        <v>3625</v>
      </c>
      <c r="I17" s="33" t="s">
        <v>3635</v>
      </c>
      <c r="J17" s="40"/>
    </row>
    <row r="18" spans="1:10" x14ac:dyDescent="0.35">
      <c r="A18" s="38"/>
      <c r="B18" s="26">
        <v>100</v>
      </c>
      <c r="C18" s="26">
        <v>41001014</v>
      </c>
      <c r="D18" s="39"/>
      <c r="E18" s="26">
        <v>1</v>
      </c>
      <c r="F18" s="26" t="s">
        <v>3622</v>
      </c>
      <c r="G18" s="29"/>
      <c r="H18" s="26" t="s">
        <v>3625</v>
      </c>
      <c r="I18" s="33" t="s">
        <v>3635</v>
      </c>
      <c r="J18" s="40"/>
    </row>
    <row r="19" spans="1:10" x14ac:dyDescent="0.35">
      <c r="A19" s="38"/>
      <c r="B19" s="26">
        <v>100</v>
      </c>
      <c r="C19" s="26">
        <v>41001015</v>
      </c>
      <c r="D19" s="39"/>
      <c r="E19" s="26">
        <v>1</v>
      </c>
      <c r="F19" s="26" t="s">
        <v>3622</v>
      </c>
      <c r="G19" s="29"/>
      <c r="H19" s="26" t="s">
        <v>3625</v>
      </c>
      <c r="I19" s="33" t="s">
        <v>3635</v>
      </c>
      <c r="J19" s="40"/>
    </row>
    <row r="20" spans="1:10" x14ac:dyDescent="0.35">
      <c r="A20" s="38"/>
      <c r="B20" s="26">
        <v>100</v>
      </c>
      <c r="C20" s="26">
        <v>41001016</v>
      </c>
      <c r="D20" s="39"/>
      <c r="E20" s="26">
        <v>1</v>
      </c>
      <c r="F20" s="26" t="s">
        <v>3622</v>
      </c>
      <c r="G20" s="29"/>
      <c r="H20" s="26" t="s">
        <v>3625</v>
      </c>
      <c r="I20" s="33" t="s">
        <v>3635</v>
      </c>
      <c r="J20" s="40"/>
    </row>
    <row r="21" spans="1:10" x14ac:dyDescent="0.35">
      <c r="A21" s="38" t="s">
        <v>104</v>
      </c>
      <c r="B21" s="26">
        <v>100</v>
      </c>
      <c r="C21" s="26">
        <v>41001017</v>
      </c>
      <c r="D21" s="39"/>
      <c r="E21" s="26">
        <v>1</v>
      </c>
      <c r="F21" s="26"/>
      <c r="G21" s="29"/>
      <c r="H21" s="26"/>
      <c r="I21" s="33"/>
      <c r="J21" s="40"/>
    </row>
    <row r="22" spans="1:10" x14ac:dyDescent="0.35">
      <c r="A22" s="38" t="s">
        <v>104</v>
      </c>
      <c r="B22" s="26">
        <v>100</v>
      </c>
      <c r="C22" s="26">
        <v>41001018</v>
      </c>
      <c r="D22" s="39"/>
      <c r="E22" s="26">
        <v>1</v>
      </c>
      <c r="F22" s="26"/>
      <c r="G22" s="29"/>
      <c r="H22" s="26"/>
      <c r="I22" s="33"/>
      <c r="J22" s="40"/>
    </row>
    <row r="23" spans="1:10" x14ac:dyDescent="0.35">
      <c r="A23" s="38" t="s">
        <v>104</v>
      </c>
      <c r="B23" s="26">
        <v>100</v>
      </c>
      <c r="C23" s="26">
        <v>41001019</v>
      </c>
      <c r="D23" s="39"/>
      <c r="E23" s="26">
        <v>1</v>
      </c>
      <c r="F23" s="26"/>
      <c r="G23" s="29"/>
      <c r="H23" s="26"/>
      <c r="I23" s="33"/>
      <c r="J23" s="40"/>
    </row>
    <row r="24" spans="1:10" x14ac:dyDescent="0.35">
      <c r="A24" s="38" t="s">
        <v>104</v>
      </c>
      <c r="B24" s="26">
        <v>100</v>
      </c>
      <c r="C24" s="26">
        <v>41001020</v>
      </c>
      <c r="D24" s="39"/>
      <c r="E24" s="26">
        <v>1</v>
      </c>
      <c r="F24" s="26"/>
      <c r="G24" s="29"/>
      <c r="H24" s="26"/>
      <c r="I24" s="33"/>
      <c r="J24" s="40"/>
    </row>
    <row r="25" spans="1:10" x14ac:dyDescent="0.35">
      <c r="A25" s="38" t="s">
        <v>104</v>
      </c>
      <c r="B25" s="26">
        <v>100</v>
      </c>
      <c r="C25" s="26">
        <v>41001021</v>
      </c>
      <c r="D25" s="39"/>
      <c r="E25" s="26">
        <v>1</v>
      </c>
      <c r="F25" s="26"/>
      <c r="G25" s="29"/>
      <c r="H25" s="26"/>
      <c r="I25" s="33"/>
      <c r="J25" s="40"/>
    </row>
    <row r="26" spans="1:10" x14ac:dyDescent="0.35">
      <c r="A26" s="38" t="s">
        <v>104</v>
      </c>
      <c r="B26" s="26">
        <v>100</v>
      </c>
      <c r="C26" s="26">
        <v>41001022</v>
      </c>
      <c r="D26" s="39"/>
      <c r="E26" s="26">
        <v>1</v>
      </c>
      <c r="F26" s="26"/>
      <c r="G26" s="29"/>
      <c r="H26" s="26"/>
      <c r="I26" s="33"/>
      <c r="J26" s="40"/>
    </row>
    <row r="27" spans="1:10" x14ac:dyDescent="0.35">
      <c r="A27" s="38" t="s">
        <v>104</v>
      </c>
      <c r="B27" s="26">
        <v>100</v>
      </c>
      <c r="C27" s="26">
        <v>41001023</v>
      </c>
      <c r="D27" s="39"/>
      <c r="E27" s="26">
        <v>1</v>
      </c>
      <c r="F27" s="26"/>
      <c r="G27" s="29"/>
      <c r="H27" s="26"/>
      <c r="I27" s="33"/>
      <c r="J27" s="40"/>
    </row>
    <row r="28" spans="1:10" x14ac:dyDescent="0.35">
      <c r="A28" s="38" t="s">
        <v>104</v>
      </c>
      <c r="B28" s="26">
        <v>100</v>
      </c>
      <c r="C28" s="26">
        <v>41001024</v>
      </c>
      <c r="D28" s="39"/>
      <c r="E28" s="26">
        <v>1</v>
      </c>
      <c r="F28" s="26"/>
      <c r="G28" s="29"/>
      <c r="H28" s="26"/>
      <c r="I28" s="33"/>
      <c r="J28" s="40"/>
    </row>
    <row r="29" spans="1:10" x14ac:dyDescent="0.35">
      <c r="A29" s="38" t="s">
        <v>104</v>
      </c>
      <c r="B29" s="26">
        <v>100</v>
      </c>
      <c r="C29" s="26">
        <v>41001025</v>
      </c>
      <c r="D29" s="39"/>
      <c r="E29" s="26">
        <v>1</v>
      </c>
      <c r="F29" s="26"/>
      <c r="G29" s="29"/>
      <c r="H29" s="26"/>
      <c r="I29" s="33"/>
      <c r="J29" s="40"/>
    </row>
    <row r="30" spans="1:10" x14ac:dyDescent="0.35">
      <c r="A30" s="38" t="s">
        <v>104</v>
      </c>
      <c r="B30" s="26">
        <v>100</v>
      </c>
      <c r="C30" s="26">
        <v>41001026</v>
      </c>
      <c r="D30" s="39"/>
      <c r="E30" s="26">
        <v>1</v>
      </c>
      <c r="F30" s="26"/>
      <c r="G30" s="29"/>
      <c r="H30" s="26"/>
      <c r="I30" s="33"/>
      <c r="J30" s="40"/>
    </row>
    <row r="31" spans="1:10" x14ac:dyDescent="0.35">
      <c r="A31" s="38" t="s">
        <v>104</v>
      </c>
      <c r="B31" s="26">
        <v>100</v>
      </c>
      <c r="C31" s="26">
        <v>41001027</v>
      </c>
      <c r="D31" s="39"/>
      <c r="E31" s="26">
        <v>1</v>
      </c>
      <c r="F31" s="26"/>
      <c r="G31" s="29"/>
      <c r="H31" s="26"/>
      <c r="I31" s="33"/>
      <c r="J31" s="40"/>
    </row>
    <row r="32" spans="1:10" x14ac:dyDescent="0.35">
      <c r="A32" s="38" t="s">
        <v>104</v>
      </c>
      <c r="B32" s="26">
        <v>100</v>
      </c>
      <c r="C32" s="26">
        <v>41001028</v>
      </c>
      <c r="D32" s="39"/>
      <c r="E32" s="26">
        <v>1</v>
      </c>
      <c r="F32" s="26"/>
      <c r="G32" s="29"/>
      <c r="H32" s="26"/>
      <c r="I32" s="33"/>
      <c r="J32" s="40"/>
    </row>
    <row r="33" spans="1:10" x14ac:dyDescent="0.35">
      <c r="A33" s="38" t="s">
        <v>104</v>
      </c>
      <c r="B33" s="26">
        <v>100</v>
      </c>
      <c r="C33" s="26">
        <v>41001029</v>
      </c>
      <c r="D33" s="7"/>
      <c r="E33" s="26">
        <v>1</v>
      </c>
      <c r="F33" s="26"/>
      <c r="G33" s="29"/>
      <c r="H33" s="26"/>
      <c r="I33" s="33"/>
      <c r="J33" s="8"/>
    </row>
    <row r="34" spans="1:10" x14ac:dyDescent="0.35">
      <c r="A34" s="38" t="s">
        <v>104</v>
      </c>
      <c r="B34" s="26">
        <v>100</v>
      </c>
      <c r="C34" s="26">
        <v>41001030</v>
      </c>
      <c r="D34" s="7"/>
      <c r="E34" s="26">
        <v>1</v>
      </c>
      <c r="F34" s="26"/>
      <c r="G34" s="29"/>
      <c r="H34" s="26"/>
      <c r="I34" s="33"/>
      <c r="J34" s="8"/>
    </row>
    <row r="35" spans="1:10" x14ac:dyDescent="0.35">
      <c r="A35" s="28" t="s">
        <v>104</v>
      </c>
      <c r="B35" s="26">
        <v>100</v>
      </c>
      <c r="C35" s="26">
        <v>41002001</v>
      </c>
      <c r="D35" s="26" t="s">
        <v>3631</v>
      </c>
      <c r="E35" s="26">
        <v>2</v>
      </c>
      <c r="F35" s="26"/>
      <c r="G35" s="29"/>
      <c r="H35" s="26"/>
      <c r="I35" s="33"/>
      <c r="J35" s="28"/>
    </row>
    <row r="36" spans="1:10" x14ac:dyDescent="0.35">
      <c r="A36" s="28" t="s">
        <v>104</v>
      </c>
      <c r="B36" s="26">
        <v>100</v>
      </c>
      <c r="C36" s="26">
        <v>41002002</v>
      </c>
      <c r="D36" s="26" t="s">
        <v>3632</v>
      </c>
      <c r="E36" s="26">
        <v>2</v>
      </c>
      <c r="F36" s="26"/>
      <c r="G36" s="29"/>
      <c r="H36" s="26"/>
      <c r="I36" s="33"/>
      <c r="J36" s="28"/>
    </row>
    <row r="37" spans="1:10" x14ac:dyDescent="0.35">
      <c r="A37" s="28" t="s">
        <v>104</v>
      </c>
      <c r="B37" s="26">
        <v>100</v>
      </c>
      <c r="C37" s="26">
        <v>41003001</v>
      </c>
      <c r="D37" s="26" t="s">
        <v>3633</v>
      </c>
      <c r="E37" s="26">
        <v>3</v>
      </c>
      <c r="F37" s="26"/>
      <c r="G37" s="29"/>
      <c r="H37" s="26"/>
      <c r="I37" s="33"/>
      <c r="J37" s="28"/>
    </row>
    <row r="38" spans="1:10" x14ac:dyDescent="0.35">
      <c r="A38" s="8" t="s">
        <v>104</v>
      </c>
      <c r="B38" s="26">
        <v>100</v>
      </c>
      <c r="C38" s="26">
        <v>41003002</v>
      </c>
      <c r="D38" s="26" t="s">
        <v>3633</v>
      </c>
      <c r="E38" s="26">
        <v>3</v>
      </c>
      <c r="F38" s="7"/>
      <c r="G38" s="9"/>
      <c r="H38" s="7"/>
      <c r="I38" s="34"/>
      <c r="J38" s="8"/>
    </row>
    <row r="39" spans="1:10" x14ac:dyDescent="0.35">
      <c r="A39" s="8"/>
      <c r="B39" s="7"/>
      <c r="C39" s="7"/>
      <c r="D39" s="7"/>
      <c r="E39" s="7"/>
      <c r="F39" s="7"/>
      <c r="G39" s="9"/>
      <c r="H39" s="7"/>
      <c r="I39" s="34"/>
      <c r="J39" s="8"/>
    </row>
    <row r="40" spans="1:10" x14ac:dyDescent="0.35">
      <c r="A40" s="8"/>
      <c r="B40" s="7"/>
      <c r="C40" s="7"/>
      <c r="D40" s="7"/>
      <c r="E40" s="7"/>
      <c r="F40" s="7"/>
      <c r="G40" s="9"/>
      <c r="H40" s="7"/>
      <c r="I40" s="34"/>
      <c r="J4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6859-2468-414E-A91F-FD18B3728F44}">
  <sheetPr codeName="Sheet33">
    <tabColor rgb="FFC00000"/>
  </sheetPr>
  <dimension ref="A1:M40"/>
  <sheetViews>
    <sheetView workbookViewId="0"/>
  </sheetViews>
  <sheetFormatPr defaultColWidth="10.625" defaultRowHeight="16.5" x14ac:dyDescent="0.35"/>
  <cols>
    <col min="1" max="1" width="4.5" style="10" bestFit="1" customWidth="1"/>
    <col min="2" max="2" width="10.375" style="10" bestFit="1" customWidth="1"/>
    <col min="3" max="10" width="15.625" style="10" customWidth="1"/>
    <col min="11" max="11" width="30.625" style="10" customWidth="1"/>
    <col min="12" max="12" width="20.625" style="10" customWidth="1"/>
    <col min="13" max="13" width="50.625" style="10" customWidth="1"/>
    <col min="14" max="16384" width="10.625" style="10"/>
  </cols>
  <sheetData>
    <row r="1" spans="1:13" x14ac:dyDescent="0.35">
      <c r="A1" s="11" t="s">
        <v>3</v>
      </c>
      <c r="B1" s="4" t="s">
        <v>74</v>
      </c>
      <c r="C1" s="5" t="s">
        <v>38</v>
      </c>
      <c r="D1" s="5" t="s">
        <v>40</v>
      </c>
      <c r="E1" s="5" t="s">
        <v>40</v>
      </c>
      <c r="F1" s="4" t="s">
        <v>2906</v>
      </c>
      <c r="G1" s="5" t="s">
        <v>40</v>
      </c>
      <c r="H1" s="5" t="s">
        <v>40</v>
      </c>
      <c r="I1" s="5" t="s">
        <v>40</v>
      </c>
      <c r="J1" s="5" t="s">
        <v>40</v>
      </c>
      <c r="K1" s="5" t="s">
        <v>40</v>
      </c>
      <c r="L1" s="5" t="s">
        <v>40</v>
      </c>
      <c r="M1" s="6" t="s">
        <v>74</v>
      </c>
    </row>
    <row r="2" spans="1:13" x14ac:dyDescent="0.35">
      <c r="A2" s="12" t="s">
        <v>6</v>
      </c>
      <c r="B2" s="1" t="s">
        <v>30</v>
      </c>
      <c r="C2" s="2" t="s">
        <v>33</v>
      </c>
      <c r="D2" s="2" t="s">
        <v>147</v>
      </c>
      <c r="E2" s="2" t="s">
        <v>3609</v>
      </c>
      <c r="F2" s="1" t="s">
        <v>3638</v>
      </c>
      <c r="G2" s="2" t="s">
        <v>3639</v>
      </c>
      <c r="H2" s="2" t="s">
        <v>3640</v>
      </c>
      <c r="I2" s="2" t="s">
        <v>3641</v>
      </c>
      <c r="J2" s="2" t="s">
        <v>3642</v>
      </c>
      <c r="K2" s="2" t="s">
        <v>1501</v>
      </c>
      <c r="L2" s="2" t="s">
        <v>3643</v>
      </c>
      <c r="M2" s="3" t="s">
        <v>74</v>
      </c>
    </row>
    <row r="3" spans="1:13" x14ac:dyDescent="0.35">
      <c r="A3" s="24" t="s">
        <v>9</v>
      </c>
      <c r="B3" s="25" t="s">
        <v>31</v>
      </c>
      <c r="C3" s="26" t="s">
        <v>3644</v>
      </c>
      <c r="D3" s="26" t="s">
        <v>149</v>
      </c>
      <c r="E3" s="26" t="s">
        <v>3645</v>
      </c>
      <c r="F3" s="25" t="s">
        <v>3646</v>
      </c>
      <c r="G3" s="26" t="s">
        <v>3647</v>
      </c>
      <c r="H3" s="26" t="s">
        <v>3648</v>
      </c>
      <c r="I3" s="26" t="s">
        <v>3649</v>
      </c>
      <c r="J3" s="26" t="s">
        <v>3650</v>
      </c>
      <c r="K3" s="26" t="s">
        <v>3651</v>
      </c>
      <c r="L3" s="26" t="s">
        <v>3652</v>
      </c>
      <c r="M3" s="25" t="s">
        <v>80</v>
      </c>
    </row>
    <row r="4" spans="1:13" x14ac:dyDescent="0.35">
      <c r="A4" s="27" t="s">
        <v>104</v>
      </c>
      <c r="B4" s="27"/>
      <c r="C4" s="27" t="s">
        <v>3653</v>
      </c>
      <c r="D4" s="27" t="s">
        <v>3718</v>
      </c>
      <c r="E4" s="27" t="s">
        <v>3620</v>
      </c>
      <c r="F4" s="76" t="s">
        <v>3654</v>
      </c>
      <c r="G4" s="27" t="s">
        <v>3655</v>
      </c>
      <c r="H4" s="27" t="s">
        <v>3656</v>
      </c>
      <c r="I4" s="27" t="s">
        <v>3657</v>
      </c>
      <c r="J4" s="27" t="s">
        <v>3658</v>
      </c>
      <c r="K4" s="27" t="s">
        <v>3659</v>
      </c>
      <c r="L4" s="27" t="s">
        <v>3660</v>
      </c>
      <c r="M4" s="27" t="s">
        <v>128</v>
      </c>
    </row>
    <row r="5" spans="1:13" x14ac:dyDescent="0.35">
      <c r="A5" s="28"/>
      <c r="B5" s="26">
        <v>100</v>
      </c>
      <c r="C5" s="26">
        <v>41100101</v>
      </c>
      <c r="D5" s="26" t="s">
        <v>3665</v>
      </c>
      <c r="E5" s="26" t="s">
        <v>3625</v>
      </c>
      <c r="F5" s="25" t="s">
        <v>3661</v>
      </c>
      <c r="G5" s="26" t="s">
        <v>3634</v>
      </c>
      <c r="H5" s="26" t="s">
        <v>3666</v>
      </c>
      <c r="I5" s="26" t="s">
        <v>3664</v>
      </c>
      <c r="J5" s="26"/>
      <c r="K5" s="29" t="s">
        <v>3667</v>
      </c>
      <c r="L5" s="26"/>
      <c r="M5" s="28" t="s">
        <v>129</v>
      </c>
    </row>
    <row r="6" spans="1:13" x14ac:dyDescent="0.35">
      <c r="A6" s="28"/>
      <c r="B6" s="26">
        <v>100</v>
      </c>
      <c r="C6" s="26">
        <v>41100102</v>
      </c>
      <c r="D6" s="26"/>
      <c r="E6" s="26" t="s">
        <v>3625</v>
      </c>
      <c r="F6" s="25" t="s">
        <v>3661</v>
      </c>
      <c r="G6" s="26" t="s">
        <v>3634</v>
      </c>
      <c r="H6" s="26" t="s">
        <v>3670</v>
      </c>
      <c r="I6" s="26"/>
      <c r="J6" s="26"/>
      <c r="K6" s="29" t="s">
        <v>3668</v>
      </c>
      <c r="L6" s="26"/>
      <c r="M6" s="28" t="s">
        <v>130</v>
      </c>
    </row>
    <row r="7" spans="1:13" x14ac:dyDescent="0.35">
      <c r="A7" s="28"/>
      <c r="B7" s="26">
        <v>100</v>
      </c>
      <c r="C7" s="26">
        <v>41100103</v>
      </c>
      <c r="D7" s="26"/>
      <c r="E7" s="26" t="s">
        <v>3625</v>
      </c>
      <c r="F7" s="25" t="s">
        <v>3661</v>
      </c>
      <c r="G7" s="26" t="s">
        <v>3634</v>
      </c>
      <c r="H7" s="26" t="s">
        <v>3671</v>
      </c>
      <c r="I7" s="26"/>
      <c r="J7" s="26"/>
      <c r="K7" s="29" t="s">
        <v>3669</v>
      </c>
      <c r="L7" s="26"/>
      <c r="M7" s="28" t="s">
        <v>131</v>
      </c>
    </row>
    <row r="8" spans="1:13" x14ac:dyDescent="0.35">
      <c r="A8" s="28"/>
      <c r="B8" s="26">
        <v>100</v>
      </c>
      <c r="C8" s="26">
        <v>41100201</v>
      </c>
      <c r="D8" s="26" t="s">
        <v>3672</v>
      </c>
      <c r="E8" s="26" t="s">
        <v>3626</v>
      </c>
      <c r="F8" s="25" t="s">
        <v>3662</v>
      </c>
      <c r="G8" s="26"/>
      <c r="H8" s="26" t="s">
        <v>3681</v>
      </c>
      <c r="I8" s="26"/>
      <c r="J8" s="26" t="s">
        <v>3723</v>
      </c>
      <c r="K8" s="29" t="s">
        <v>3673</v>
      </c>
      <c r="L8" s="26"/>
      <c r="M8" s="28"/>
    </row>
    <row r="9" spans="1:13" x14ac:dyDescent="0.35">
      <c r="A9" s="28"/>
      <c r="B9" s="26">
        <v>100</v>
      </c>
      <c r="C9" s="26">
        <v>41100202</v>
      </c>
      <c r="D9" s="26"/>
      <c r="E9" s="26" t="s">
        <v>3626</v>
      </c>
      <c r="F9" s="25" t="s">
        <v>3661</v>
      </c>
      <c r="G9" s="26"/>
      <c r="H9" s="26" t="s">
        <v>3670</v>
      </c>
      <c r="I9" s="26"/>
      <c r="J9" s="26"/>
      <c r="K9" s="29" t="s">
        <v>3674</v>
      </c>
      <c r="L9" s="26"/>
      <c r="M9" s="28"/>
    </row>
    <row r="10" spans="1:13" x14ac:dyDescent="0.35">
      <c r="A10" s="28"/>
      <c r="B10" s="26">
        <v>100</v>
      </c>
      <c r="C10" s="26">
        <v>41100203</v>
      </c>
      <c r="D10" s="26"/>
      <c r="E10" s="26" t="s">
        <v>3626</v>
      </c>
      <c r="F10" s="25" t="s">
        <v>3661</v>
      </c>
      <c r="G10" s="26"/>
      <c r="H10" s="26" t="s">
        <v>3683</v>
      </c>
      <c r="I10" s="26"/>
      <c r="J10" s="26"/>
      <c r="K10" s="29" t="s">
        <v>3675</v>
      </c>
      <c r="L10" s="26"/>
      <c r="M10" s="28"/>
    </row>
    <row r="11" spans="1:13" x14ac:dyDescent="0.35">
      <c r="A11" s="8"/>
      <c r="B11" s="26">
        <v>100</v>
      </c>
      <c r="C11" s="26">
        <v>41100204</v>
      </c>
      <c r="D11" s="26"/>
      <c r="E11" s="26" t="s">
        <v>3626</v>
      </c>
      <c r="F11" s="25" t="s">
        <v>3661</v>
      </c>
      <c r="G11" s="7"/>
      <c r="H11" s="26" t="s">
        <v>3683</v>
      </c>
      <c r="I11" s="26"/>
      <c r="J11" s="7"/>
      <c r="K11" s="9" t="s">
        <v>3676</v>
      </c>
      <c r="L11" s="7"/>
      <c r="M11" s="8"/>
    </row>
    <row r="12" spans="1:13" x14ac:dyDescent="0.35">
      <c r="A12" s="8"/>
      <c r="B12" s="26">
        <v>100</v>
      </c>
      <c r="C12" s="26">
        <v>41100205</v>
      </c>
      <c r="D12" s="26" t="s">
        <v>3672</v>
      </c>
      <c r="E12" s="26" t="s">
        <v>3626</v>
      </c>
      <c r="F12" s="25" t="s">
        <v>3662</v>
      </c>
      <c r="G12" s="7"/>
      <c r="H12" s="7" t="s">
        <v>3682</v>
      </c>
      <c r="I12" s="26"/>
      <c r="J12" s="7"/>
      <c r="K12" s="9" t="s">
        <v>3677</v>
      </c>
      <c r="L12" s="7"/>
      <c r="M12" s="8"/>
    </row>
    <row r="13" spans="1:13" x14ac:dyDescent="0.35">
      <c r="A13" s="8"/>
      <c r="B13" s="26">
        <v>100</v>
      </c>
      <c r="C13" s="26">
        <v>41100206</v>
      </c>
      <c r="D13" s="26" t="s">
        <v>3672</v>
      </c>
      <c r="E13" s="26" t="s">
        <v>3626</v>
      </c>
      <c r="F13" s="25" t="s">
        <v>3662</v>
      </c>
      <c r="G13" s="7"/>
      <c r="H13" s="7" t="s">
        <v>3681</v>
      </c>
      <c r="I13" s="26"/>
      <c r="J13" s="7"/>
      <c r="K13" s="9" t="s">
        <v>3678</v>
      </c>
      <c r="L13" s="7"/>
      <c r="M13" s="8"/>
    </row>
    <row r="14" spans="1:13" x14ac:dyDescent="0.35">
      <c r="A14" s="8"/>
      <c r="B14" s="26">
        <v>100</v>
      </c>
      <c r="C14" s="26">
        <v>41100207</v>
      </c>
      <c r="D14" s="7"/>
      <c r="E14" s="26" t="s">
        <v>3626</v>
      </c>
      <c r="F14" s="25" t="s">
        <v>3661</v>
      </c>
      <c r="G14" s="7"/>
      <c r="H14" s="26" t="s">
        <v>3671</v>
      </c>
      <c r="I14" s="26"/>
      <c r="J14" s="7"/>
      <c r="K14" s="9" t="s">
        <v>3679</v>
      </c>
      <c r="L14" s="7"/>
      <c r="M14" s="8"/>
    </row>
    <row r="15" spans="1:13" x14ac:dyDescent="0.35">
      <c r="A15" s="8"/>
      <c r="B15" s="26">
        <v>100</v>
      </c>
      <c r="C15" s="26">
        <v>41100208</v>
      </c>
      <c r="D15" s="7"/>
      <c r="E15" s="26" t="s">
        <v>3626</v>
      </c>
      <c r="F15" s="25" t="s">
        <v>3661</v>
      </c>
      <c r="G15" s="7"/>
      <c r="H15" s="7" t="s">
        <v>3684</v>
      </c>
      <c r="I15" s="26"/>
      <c r="J15" s="7"/>
      <c r="K15" s="9" t="s">
        <v>3680</v>
      </c>
      <c r="L15" s="7"/>
      <c r="M15" s="8"/>
    </row>
    <row r="16" spans="1:13" x14ac:dyDescent="0.35">
      <c r="A16" s="8"/>
      <c r="B16" s="26">
        <v>100</v>
      </c>
      <c r="C16" s="7">
        <v>41100301</v>
      </c>
      <c r="D16" s="7"/>
      <c r="E16" s="26" t="s">
        <v>3627</v>
      </c>
      <c r="F16" s="77" t="s">
        <v>3663</v>
      </c>
      <c r="G16" s="7"/>
      <c r="H16" s="7" t="s">
        <v>3711</v>
      </c>
      <c r="I16" s="26"/>
      <c r="J16" s="7" t="s">
        <v>3722</v>
      </c>
      <c r="K16" s="9" t="s">
        <v>3689</v>
      </c>
      <c r="L16" s="7"/>
      <c r="M16" s="8"/>
    </row>
    <row r="17" spans="1:13" x14ac:dyDescent="0.35">
      <c r="A17" s="8"/>
      <c r="B17" s="26">
        <v>100</v>
      </c>
      <c r="C17" s="7">
        <v>41100302</v>
      </c>
      <c r="D17" s="7"/>
      <c r="E17" s="26" t="s">
        <v>3627</v>
      </c>
      <c r="F17" s="77" t="s">
        <v>3661</v>
      </c>
      <c r="G17" s="7"/>
      <c r="H17" s="7" t="s">
        <v>3711</v>
      </c>
      <c r="I17" s="26"/>
      <c r="J17" s="7"/>
      <c r="K17" s="9" t="s">
        <v>3690</v>
      </c>
      <c r="L17" s="7"/>
      <c r="M17" s="8"/>
    </row>
    <row r="18" spans="1:13" x14ac:dyDescent="0.35">
      <c r="A18" s="8"/>
      <c r="B18" s="26">
        <v>100</v>
      </c>
      <c r="C18" s="7">
        <v>41100303</v>
      </c>
      <c r="D18" s="7"/>
      <c r="E18" s="26" t="s">
        <v>3627</v>
      </c>
      <c r="F18" s="77" t="s">
        <v>3663</v>
      </c>
      <c r="G18" s="7"/>
      <c r="H18" s="7" t="s">
        <v>3711</v>
      </c>
      <c r="I18" s="26" t="s">
        <v>3664</v>
      </c>
      <c r="J18" s="7"/>
      <c r="K18" s="9" t="s">
        <v>3691</v>
      </c>
      <c r="L18" s="7"/>
      <c r="M18" s="8"/>
    </row>
    <row r="19" spans="1:13" x14ac:dyDescent="0.35">
      <c r="A19" s="8"/>
      <c r="B19" s="26">
        <v>100</v>
      </c>
      <c r="C19" s="7">
        <v>41100304</v>
      </c>
      <c r="D19" s="7" t="s">
        <v>3687</v>
      </c>
      <c r="E19" s="26" t="s">
        <v>3627</v>
      </c>
      <c r="F19" s="77" t="s">
        <v>3685</v>
      </c>
      <c r="G19" s="7" t="s">
        <v>3692</v>
      </c>
      <c r="H19" s="7" t="s">
        <v>3712</v>
      </c>
      <c r="I19" s="7"/>
      <c r="J19" s="7"/>
      <c r="K19" s="9" t="s">
        <v>3694</v>
      </c>
      <c r="L19" s="7"/>
      <c r="M19" s="8"/>
    </row>
    <row r="20" spans="1:13" x14ac:dyDescent="0.35">
      <c r="A20" s="8"/>
      <c r="B20" s="26">
        <v>100</v>
      </c>
      <c r="C20" s="7">
        <v>41100305</v>
      </c>
      <c r="D20" s="7" t="s">
        <v>3688</v>
      </c>
      <c r="E20" s="26" t="s">
        <v>3627</v>
      </c>
      <c r="F20" s="77" t="s">
        <v>3686</v>
      </c>
      <c r="G20" s="7" t="s">
        <v>3693</v>
      </c>
      <c r="H20" s="7" t="s">
        <v>3714</v>
      </c>
      <c r="I20" s="7"/>
      <c r="J20" s="7"/>
      <c r="K20" s="9" t="s">
        <v>3708</v>
      </c>
      <c r="L20" s="7"/>
      <c r="M20" s="8"/>
    </row>
    <row r="21" spans="1:13" x14ac:dyDescent="0.35">
      <c r="A21" s="8"/>
      <c r="B21" s="26">
        <v>100</v>
      </c>
      <c r="C21" s="7">
        <v>41100306</v>
      </c>
      <c r="D21" s="7"/>
      <c r="E21" s="26" t="s">
        <v>3627</v>
      </c>
      <c r="F21" s="77" t="s">
        <v>3661</v>
      </c>
      <c r="G21" s="7"/>
      <c r="H21" s="7" t="s">
        <v>3684</v>
      </c>
      <c r="I21" s="7"/>
      <c r="J21" s="7"/>
      <c r="K21" s="9" t="s">
        <v>3695</v>
      </c>
      <c r="L21" s="7"/>
      <c r="M21" s="8"/>
    </row>
    <row r="22" spans="1:13" x14ac:dyDescent="0.35">
      <c r="A22" s="8"/>
      <c r="B22" s="26">
        <v>100</v>
      </c>
      <c r="C22" s="7">
        <v>41100307</v>
      </c>
      <c r="D22" s="7"/>
      <c r="E22" s="26" t="s">
        <v>3627</v>
      </c>
      <c r="F22" s="77" t="s">
        <v>3661</v>
      </c>
      <c r="G22" s="7"/>
      <c r="H22" s="7" t="s">
        <v>3711</v>
      </c>
      <c r="I22" s="7"/>
      <c r="J22" s="7"/>
      <c r="K22" s="9" t="s">
        <v>3696</v>
      </c>
      <c r="L22" s="7"/>
      <c r="M22" s="8"/>
    </row>
    <row r="23" spans="1:13" x14ac:dyDescent="0.35">
      <c r="A23" s="8"/>
      <c r="B23" s="26">
        <v>100</v>
      </c>
      <c r="C23" s="7">
        <v>41100308</v>
      </c>
      <c r="D23" s="7"/>
      <c r="E23" s="26" t="s">
        <v>3627</v>
      </c>
      <c r="F23" s="77" t="s">
        <v>3661</v>
      </c>
      <c r="G23" s="7"/>
      <c r="H23" s="7" t="s">
        <v>3711</v>
      </c>
      <c r="I23" s="7"/>
      <c r="J23" s="7"/>
      <c r="K23" s="9" t="s">
        <v>3697</v>
      </c>
      <c r="L23" s="7"/>
      <c r="M23" s="8"/>
    </row>
    <row r="24" spans="1:13" x14ac:dyDescent="0.35">
      <c r="A24" s="8"/>
      <c r="B24" s="26">
        <v>100</v>
      </c>
      <c r="C24" s="7">
        <v>41100309</v>
      </c>
      <c r="D24" s="7"/>
      <c r="E24" s="26" t="s">
        <v>3627</v>
      </c>
      <c r="F24" s="77" t="s">
        <v>3661</v>
      </c>
      <c r="G24" s="7"/>
      <c r="H24" s="7" t="s">
        <v>3711</v>
      </c>
      <c r="I24" s="7"/>
      <c r="J24" s="7"/>
      <c r="K24" s="9" t="s">
        <v>3698</v>
      </c>
      <c r="L24" s="7" t="s">
        <v>3719</v>
      </c>
      <c r="M24" s="8"/>
    </row>
    <row r="25" spans="1:13" x14ac:dyDescent="0.35">
      <c r="A25" s="8"/>
      <c r="B25" s="26">
        <v>100</v>
      </c>
      <c r="C25" s="7">
        <v>41100310</v>
      </c>
      <c r="D25" s="7"/>
      <c r="E25" s="26" t="s">
        <v>3627</v>
      </c>
      <c r="F25" s="77" t="s">
        <v>3661</v>
      </c>
      <c r="G25" s="7"/>
      <c r="H25" s="7" t="s">
        <v>3666</v>
      </c>
      <c r="I25" s="7"/>
      <c r="J25" s="7"/>
      <c r="K25" s="9" t="s">
        <v>3720</v>
      </c>
      <c r="L25" s="7"/>
      <c r="M25" s="8"/>
    </row>
    <row r="26" spans="1:13" x14ac:dyDescent="0.35">
      <c r="A26" s="8"/>
      <c r="B26" s="26">
        <v>100</v>
      </c>
      <c r="C26" s="7">
        <v>41100311</v>
      </c>
      <c r="D26" s="7" t="s">
        <v>3687</v>
      </c>
      <c r="E26" s="26" t="s">
        <v>3627</v>
      </c>
      <c r="F26" s="77" t="s">
        <v>3685</v>
      </c>
      <c r="G26" s="7" t="s">
        <v>3692</v>
      </c>
      <c r="H26" s="7" t="s">
        <v>3712</v>
      </c>
      <c r="I26" s="7"/>
      <c r="J26" s="7"/>
      <c r="K26" s="9" t="s">
        <v>3699</v>
      </c>
      <c r="L26" s="7"/>
      <c r="M26" s="8"/>
    </row>
    <row r="27" spans="1:13" x14ac:dyDescent="0.35">
      <c r="A27" s="8"/>
      <c r="B27" s="26">
        <v>100</v>
      </c>
      <c r="C27" s="7">
        <v>41100312</v>
      </c>
      <c r="D27" s="7" t="s">
        <v>3687</v>
      </c>
      <c r="E27" s="26" t="s">
        <v>3627</v>
      </c>
      <c r="F27" s="77" t="s">
        <v>3685</v>
      </c>
      <c r="G27" s="7" t="s">
        <v>3692</v>
      </c>
      <c r="H27" s="7" t="s">
        <v>3712</v>
      </c>
      <c r="I27" s="7"/>
      <c r="J27" s="7"/>
      <c r="K27" s="9" t="s">
        <v>3700</v>
      </c>
      <c r="L27" s="7"/>
      <c r="M27" s="8"/>
    </row>
    <row r="28" spans="1:13" x14ac:dyDescent="0.35">
      <c r="A28" s="8"/>
      <c r="B28" s="26">
        <v>100</v>
      </c>
      <c r="C28" s="7">
        <v>41100313</v>
      </c>
      <c r="D28" s="7" t="s">
        <v>3688</v>
      </c>
      <c r="E28" s="26" t="s">
        <v>3627</v>
      </c>
      <c r="F28" s="77" t="s">
        <v>3686</v>
      </c>
      <c r="G28" s="7" t="s">
        <v>3693</v>
      </c>
      <c r="H28" s="7" t="s">
        <v>3712</v>
      </c>
      <c r="I28" s="7"/>
      <c r="J28" s="7"/>
      <c r="K28" s="9" t="s">
        <v>3701</v>
      </c>
      <c r="L28" s="7" t="s">
        <v>3719</v>
      </c>
      <c r="M28" s="8"/>
    </row>
    <row r="29" spans="1:13" x14ac:dyDescent="0.35">
      <c r="A29" s="8"/>
      <c r="B29" s="26">
        <v>100</v>
      </c>
      <c r="C29" s="7">
        <v>41100314</v>
      </c>
      <c r="D29" s="7"/>
      <c r="E29" s="26" t="s">
        <v>3627</v>
      </c>
      <c r="F29" s="77" t="s">
        <v>3663</v>
      </c>
      <c r="G29" s="7"/>
      <c r="H29" s="7" t="s">
        <v>3712</v>
      </c>
      <c r="I29" s="7"/>
      <c r="J29" s="7"/>
      <c r="K29" s="9" t="s">
        <v>3702</v>
      </c>
      <c r="L29" s="7"/>
      <c r="M29" s="8"/>
    </row>
    <row r="30" spans="1:13" x14ac:dyDescent="0.35">
      <c r="A30" s="8"/>
      <c r="B30" s="26">
        <v>100</v>
      </c>
      <c r="C30" s="7">
        <v>41100315</v>
      </c>
      <c r="D30" s="7"/>
      <c r="E30" s="26" t="s">
        <v>3627</v>
      </c>
      <c r="F30" s="77" t="s">
        <v>3661</v>
      </c>
      <c r="G30" s="7"/>
      <c r="H30" s="26" t="s">
        <v>3671</v>
      </c>
      <c r="I30" s="7"/>
      <c r="J30" s="7"/>
      <c r="K30" s="9" t="s">
        <v>3721</v>
      </c>
      <c r="L30" s="7"/>
      <c r="M30" s="8"/>
    </row>
    <row r="31" spans="1:13" x14ac:dyDescent="0.35">
      <c r="A31" s="8"/>
      <c r="B31" s="26">
        <v>100</v>
      </c>
      <c r="C31" s="7">
        <v>41100316</v>
      </c>
      <c r="D31" s="7"/>
      <c r="E31" s="26" t="s">
        <v>3627</v>
      </c>
      <c r="F31" s="77" t="s">
        <v>3661</v>
      </c>
      <c r="G31" s="7"/>
      <c r="H31" s="7" t="s">
        <v>3683</v>
      </c>
      <c r="I31" s="7"/>
      <c r="J31" s="7"/>
      <c r="K31" s="9" t="s">
        <v>3704</v>
      </c>
      <c r="L31" s="7"/>
      <c r="M31" s="8"/>
    </row>
    <row r="32" spans="1:13" x14ac:dyDescent="0.35">
      <c r="A32" s="8"/>
      <c r="B32" s="26">
        <v>100</v>
      </c>
      <c r="C32" s="7">
        <v>41100317</v>
      </c>
      <c r="D32" s="7"/>
      <c r="E32" s="26" t="s">
        <v>3627</v>
      </c>
      <c r="F32" s="77" t="s">
        <v>3661</v>
      </c>
      <c r="G32" s="7"/>
      <c r="H32" s="7" t="s">
        <v>3683</v>
      </c>
      <c r="I32" s="7"/>
      <c r="J32" s="7"/>
      <c r="K32" s="9" t="s">
        <v>3703</v>
      </c>
      <c r="L32" s="7"/>
      <c r="M32" s="8"/>
    </row>
    <row r="33" spans="1:13" x14ac:dyDescent="0.35">
      <c r="A33" s="8"/>
      <c r="B33" s="26">
        <v>100</v>
      </c>
      <c r="C33" s="7">
        <v>41100318</v>
      </c>
      <c r="D33" s="7" t="s">
        <v>3688</v>
      </c>
      <c r="E33" s="26" t="s">
        <v>3627</v>
      </c>
      <c r="F33" s="77" t="s">
        <v>3686</v>
      </c>
      <c r="G33" s="7" t="s">
        <v>3693</v>
      </c>
      <c r="H33" s="7" t="s">
        <v>3715</v>
      </c>
      <c r="I33" s="7"/>
      <c r="J33" s="7"/>
      <c r="K33" s="9" t="s">
        <v>3705</v>
      </c>
      <c r="L33" s="7"/>
      <c r="M33" s="8"/>
    </row>
    <row r="34" spans="1:13" x14ac:dyDescent="0.35">
      <c r="A34" s="8"/>
      <c r="B34" s="26">
        <v>100</v>
      </c>
      <c r="C34" s="7">
        <v>41100319</v>
      </c>
      <c r="D34" s="7" t="s">
        <v>3688</v>
      </c>
      <c r="E34" s="26" t="s">
        <v>3627</v>
      </c>
      <c r="F34" s="77" t="s">
        <v>3686</v>
      </c>
      <c r="G34" s="7" t="s">
        <v>3693</v>
      </c>
      <c r="H34" s="7" t="s">
        <v>3714</v>
      </c>
      <c r="I34" s="7"/>
      <c r="J34" s="7"/>
      <c r="K34" s="9" t="s">
        <v>3706</v>
      </c>
      <c r="L34" s="7"/>
      <c r="M34" s="8"/>
    </row>
    <row r="35" spans="1:13" x14ac:dyDescent="0.35">
      <c r="A35" s="8"/>
      <c r="B35" s="26">
        <v>100</v>
      </c>
      <c r="C35" s="7">
        <v>41100320</v>
      </c>
      <c r="D35" s="7" t="s">
        <v>3687</v>
      </c>
      <c r="E35" s="26" t="s">
        <v>3627</v>
      </c>
      <c r="F35" s="77" t="s">
        <v>3685</v>
      </c>
      <c r="G35" s="7" t="s">
        <v>3692</v>
      </c>
      <c r="H35" s="7" t="s">
        <v>3713</v>
      </c>
      <c r="I35" s="7"/>
      <c r="J35" s="7"/>
      <c r="K35" s="9" t="s">
        <v>3707</v>
      </c>
      <c r="L35" s="7"/>
      <c r="M35" s="8"/>
    </row>
    <row r="36" spans="1:13" x14ac:dyDescent="0.35">
      <c r="A36" s="8"/>
      <c r="B36" s="26">
        <v>100</v>
      </c>
      <c r="C36" s="7">
        <v>41100321</v>
      </c>
      <c r="D36" s="7" t="s">
        <v>3687</v>
      </c>
      <c r="E36" s="26" t="s">
        <v>3627</v>
      </c>
      <c r="F36" s="77" t="s">
        <v>3685</v>
      </c>
      <c r="G36" s="7" t="s">
        <v>3692</v>
      </c>
      <c r="H36" s="7" t="s">
        <v>3712</v>
      </c>
      <c r="I36" s="7"/>
      <c r="J36" s="7"/>
      <c r="K36" s="9" t="s">
        <v>3709</v>
      </c>
      <c r="L36" s="7"/>
      <c r="M36" s="8"/>
    </row>
    <row r="37" spans="1:13" x14ac:dyDescent="0.35">
      <c r="A37" s="8"/>
      <c r="B37" s="26">
        <v>100</v>
      </c>
      <c r="C37" s="7">
        <v>41100322</v>
      </c>
      <c r="D37" s="7"/>
      <c r="E37" s="26" t="s">
        <v>3627</v>
      </c>
      <c r="F37" s="77" t="s">
        <v>3663</v>
      </c>
      <c r="G37" s="7"/>
      <c r="H37" s="7" t="s">
        <v>3670</v>
      </c>
      <c r="I37" s="26" t="s">
        <v>3664</v>
      </c>
      <c r="J37" s="7"/>
      <c r="K37" s="9" t="s">
        <v>3710</v>
      </c>
      <c r="L37" s="7"/>
      <c r="M37" s="8"/>
    </row>
    <row r="38" spans="1:13" x14ac:dyDescent="0.35">
      <c r="A38" s="8"/>
      <c r="B38" s="26">
        <v>100</v>
      </c>
      <c r="C38" s="7">
        <v>41100323</v>
      </c>
      <c r="D38" s="7"/>
      <c r="E38" s="26" t="s">
        <v>3627</v>
      </c>
      <c r="F38" s="77" t="s">
        <v>3663</v>
      </c>
      <c r="G38" s="7"/>
      <c r="H38" s="7" t="s">
        <v>3716</v>
      </c>
      <c r="I38" s="26" t="s">
        <v>3664</v>
      </c>
      <c r="J38" s="7"/>
      <c r="K38" s="9" t="s">
        <v>3717</v>
      </c>
      <c r="L38" s="7"/>
      <c r="M38" s="8"/>
    </row>
    <row r="39" spans="1:13" x14ac:dyDescent="0.35">
      <c r="A39" s="8"/>
      <c r="B39" s="7"/>
      <c r="C39" s="7"/>
      <c r="D39" s="7"/>
      <c r="E39" s="26"/>
      <c r="F39" s="77"/>
      <c r="G39" s="7"/>
      <c r="H39" s="7"/>
      <c r="I39" s="7"/>
      <c r="J39" s="7"/>
      <c r="K39" s="9"/>
      <c r="L39" s="7"/>
      <c r="M39" s="8"/>
    </row>
    <row r="40" spans="1:13" x14ac:dyDescent="0.35">
      <c r="A40" s="8"/>
      <c r="B40" s="7"/>
      <c r="C40" s="7"/>
      <c r="D40" s="7"/>
      <c r="E40" s="26"/>
      <c r="F40" s="77"/>
      <c r="G40" s="7"/>
      <c r="H40" s="7"/>
      <c r="I40" s="7"/>
      <c r="J40" s="7"/>
      <c r="K40" s="9"/>
      <c r="L40" s="7"/>
      <c r="M40" s="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ReturnHome.Return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32</vt:i4>
      </vt:variant>
      <vt:variant>
        <vt:lpstr>命名范围</vt:lpstr>
      </vt:variant>
      <vt:variant>
        <vt:i4>2</vt:i4>
      </vt:variant>
    </vt:vector>
  </HeadingPairs>
  <TitlesOfParts>
    <vt:vector size="34" baseType="lpstr">
      <vt:lpstr>使用说明</vt:lpstr>
      <vt:lpstr>SheetName</vt:lpstr>
      <vt:lpstr>GameConfig</vt:lpstr>
      <vt:lpstr>GameDict</vt:lpstr>
      <vt:lpstr>Numerical</vt:lpstr>
      <vt:lpstr>GameFunc</vt:lpstr>
      <vt:lpstr>GameSettings</vt:lpstr>
      <vt:lpstr>Notice</vt:lpstr>
      <vt:lpstr>Prompt</vt:lpstr>
      <vt:lpstr>RoleNameRandom</vt:lpstr>
      <vt:lpstr>RoleInfo</vt:lpstr>
      <vt:lpstr>RoleAvatar</vt:lpstr>
      <vt:lpstr>RoleStatus</vt:lpstr>
      <vt:lpstr>RoleProf</vt:lpstr>
      <vt:lpstr>RoleJob</vt:lpstr>
      <vt:lpstr>RoleAction</vt:lpstr>
      <vt:lpstr>RoleHappiness</vt:lpstr>
      <vt:lpstr>RoleLevel</vt:lpstr>
      <vt:lpstr>Tag</vt:lpstr>
      <vt:lpstr>Skill</vt:lpstr>
      <vt:lpstr>Buff</vt:lpstr>
      <vt:lpstr>BuffEffect</vt:lpstr>
      <vt:lpstr>Item</vt:lpstr>
      <vt:lpstr>Drop</vt:lpstr>
      <vt:lpstr>Formula</vt:lpstr>
      <vt:lpstr>ScenePart</vt:lpstr>
      <vt:lpstr>House</vt:lpstr>
      <vt:lpstr>Chapter</vt:lpstr>
      <vt:lpstr>Task</vt:lpstr>
      <vt:lpstr>GameEvent</vt:lpstr>
      <vt:lpstr>Story</vt:lpstr>
      <vt:lpstr>DialogTxt</vt:lpstr>
      <vt:lpstr>branchName</vt:lpstr>
      <vt:lpstr>msgOutput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陆瑜</dc:creator>
  <cp:lastModifiedBy>FairyBunny</cp:lastModifiedBy>
  <dcterms:created xsi:type="dcterms:W3CDTF">2021-05-07T09:48:32Z</dcterms:created>
  <dcterms:modified xsi:type="dcterms:W3CDTF">2022-11-29T06:08:23Z</dcterms:modified>
</cp:coreProperties>
</file>